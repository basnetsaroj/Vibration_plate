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\Desktop\Vibration\Paper 1\"/>
    </mc:Choice>
  </mc:AlternateContent>
  <xr:revisionPtr revIDLastSave="0" documentId="13_ncr:1_{5967806E-8135-479D-87A8-55DF612DF7BD}" xr6:coauthVersionLast="47" xr6:coauthVersionMax="47" xr10:uidLastSave="{00000000-0000-0000-0000-000000000000}"/>
  <bookViews>
    <workbookView xWindow="-110" yWindow="-110" windowWidth="19420" windowHeight="10560" activeTab="6" xr2:uid="{200835FD-B3CA-45F1-8E8A-63D8679A2897}"/>
  </bookViews>
  <sheets>
    <sheet name="data my" sheetId="5" r:id="rId1"/>
    <sheet name="n-values" sheetId="4" r:id="rId2"/>
    <sheet name="data" sheetId="1" r:id="rId3"/>
    <sheet name="energy" sheetId="3" r:id="rId4"/>
    <sheet name="non dim" sheetId="6" r:id="rId5"/>
    <sheet name="nd2" sheetId="7" r:id="rId6"/>
    <sheet name="ratio vs nd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7" l="1"/>
  <c r="K14" i="7" s="1"/>
  <c r="R12" i="7"/>
  <c r="R9" i="7"/>
  <c r="R6" i="7"/>
  <c r="R5" i="7"/>
  <c r="R7" i="7"/>
  <c r="R8" i="7"/>
  <c r="R10" i="7"/>
  <c r="R11" i="7"/>
  <c r="R13" i="7"/>
  <c r="E14" i="7"/>
  <c r="E13" i="7"/>
  <c r="E12" i="7"/>
  <c r="E11" i="7"/>
  <c r="E10" i="7"/>
  <c r="E9" i="7"/>
  <c r="E8" i="7"/>
  <c r="H7" i="7"/>
  <c r="E7" i="7"/>
  <c r="E6" i="7"/>
  <c r="E5" i="7"/>
  <c r="K6" i="6"/>
  <c r="L6" i="6"/>
  <c r="K7" i="6"/>
  <c r="L7" i="6"/>
  <c r="M7" i="6" s="1"/>
  <c r="K8" i="6"/>
  <c r="L8" i="6"/>
  <c r="M8" i="6" s="1"/>
  <c r="K9" i="6"/>
  <c r="L9" i="6"/>
  <c r="K10" i="6"/>
  <c r="L10" i="6"/>
  <c r="M10" i="6" s="1"/>
  <c r="K11" i="6"/>
  <c r="L11" i="6"/>
  <c r="M11" i="6" s="1"/>
  <c r="K12" i="6"/>
  <c r="L12" i="6"/>
  <c r="K13" i="6"/>
  <c r="L13" i="6"/>
  <c r="K14" i="6"/>
  <c r="L14" i="6"/>
  <c r="M14" i="6" s="1"/>
  <c r="L5" i="6"/>
  <c r="M13" i="6"/>
  <c r="K5" i="6"/>
  <c r="M5" i="6" s="1"/>
  <c r="H7" i="6"/>
  <c r="M12" i="6"/>
  <c r="M9" i="6"/>
  <c r="M6" i="6"/>
  <c r="E14" i="6"/>
  <c r="E13" i="6"/>
  <c r="E12" i="6"/>
  <c r="E11" i="6"/>
  <c r="E10" i="6"/>
  <c r="E9" i="6"/>
  <c r="E8" i="6"/>
  <c r="E7" i="6"/>
  <c r="E6" i="6"/>
  <c r="E5" i="6"/>
  <c r="R13" i="5"/>
  <c r="R12" i="5"/>
  <c r="R11" i="5"/>
  <c r="R10" i="5"/>
  <c r="R9" i="5"/>
  <c r="R8" i="5"/>
  <c r="R7" i="5"/>
  <c r="R6" i="5"/>
  <c r="R5" i="5"/>
  <c r="R4" i="5"/>
  <c r="L5" i="5"/>
  <c r="L6" i="5"/>
  <c r="L7" i="5"/>
  <c r="L8" i="5"/>
  <c r="L9" i="5"/>
  <c r="L10" i="5"/>
  <c r="L11" i="5"/>
  <c r="L12" i="5"/>
  <c r="L13" i="5"/>
  <c r="L4" i="5"/>
  <c r="E13" i="5"/>
  <c r="E12" i="5"/>
  <c r="E11" i="5"/>
  <c r="E10" i="5"/>
  <c r="E9" i="5"/>
  <c r="E8" i="5"/>
  <c r="E7" i="5"/>
  <c r="E6" i="5"/>
  <c r="E5" i="5"/>
  <c r="E4" i="5"/>
  <c r="E5" i="1"/>
  <c r="E6" i="1"/>
  <c r="E7" i="1"/>
  <c r="E8" i="1"/>
  <c r="E9" i="1"/>
  <c r="E10" i="1"/>
  <c r="E11" i="1"/>
  <c r="E12" i="1"/>
  <c r="E13" i="1"/>
  <c r="E4" i="1"/>
  <c r="L14" i="7" l="1"/>
  <c r="K13" i="7"/>
  <c r="M14" i="7"/>
  <c r="K6" i="7"/>
  <c r="L13" i="7"/>
  <c r="M13" i="7" s="1"/>
  <c r="L6" i="7"/>
  <c r="K9" i="7"/>
  <c r="K12" i="7"/>
  <c r="L10" i="7"/>
  <c r="K5" i="7"/>
  <c r="L9" i="7"/>
  <c r="L12" i="7"/>
  <c r="L7" i="7"/>
  <c r="L5" i="7"/>
  <c r="K8" i="7"/>
  <c r="K11" i="7"/>
  <c r="L8" i="7"/>
  <c r="L11" i="7"/>
  <c r="M11" i="7" s="1"/>
  <c r="K7" i="7"/>
  <c r="K10" i="7"/>
  <c r="M5" i="7" l="1"/>
  <c r="M6" i="7"/>
  <c r="M7" i="7"/>
  <c r="M12" i="7"/>
  <c r="M8" i="7"/>
  <c r="M10" i="7"/>
  <c r="M9" i="7"/>
</calcChain>
</file>

<file path=xl/sharedStrings.xml><?xml version="1.0" encoding="utf-8"?>
<sst xmlns="http://schemas.openxmlformats.org/spreadsheetml/2006/main" count="63" uniqueCount="30">
  <si>
    <t>Mode</t>
  </si>
  <si>
    <t>Frequency (Hz)</t>
  </si>
  <si>
    <t>N values</t>
  </si>
  <si>
    <t>ANSYS</t>
  </si>
  <si>
    <t>% 
error</t>
  </si>
  <si>
    <t>Eb​%</t>
  </si>
  <si>
    <t>Es​%</t>
  </si>
  <si>
    <t>Em​%</t>
  </si>
  <si>
    <t>n=12</t>
  </si>
  <si>
    <t>Modes</t>
  </si>
  <si>
    <t>RR</t>
  </si>
  <si>
    <t>my 1</t>
  </si>
  <si>
    <t>my 2</t>
  </si>
  <si>
    <t>use this&lt;---</t>
  </si>
  <si>
    <t>n-values</t>
  </si>
  <si>
    <t>E</t>
  </si>
  <si>
    <t>rho</t>
  </si>
  <si>
    <t>nu</t>
  </si>
  <si>
    <t>h</t>
  </si>
  <si>
    <t>a</t>
  </si>
  <si>
    <t>Pi</t>
  </si>
  <si>
    <t>steel</t>
  </si>
  <si>
    <t>Tita. Alloy</t>
  </si>
  <si>
    <t>for n=5</t>
  </si>
  <si>
    <t>non dim.freq</t>
  </si>
  <si>
    <t>diff. each other</t>
  </si>
  <si>
    <t>b</t>
  </si>
  <si>
    <t>Non dimensional Frequency (Ω) for Modes</t>
  </si>
  <si>
    <t>3..2</t>
  </si>
  <si>
    <t>Aspect Ratio 
a/b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</si>
</sst>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F1115"/>
      <name val="Times New Roman"/>
      <family val="1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10"/>
      <color theme="1"/>
      <name val="Calibri"/>
      <family val="2"/>
    </font>
    <font>
      <sz val="6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0" fontId="5" fillId="0" borderId="1" xfId="0" applyFont="1" applyBorder="1"/>
    <xf numFmtId="0" fontId="6" fillId="0" borderId="0" xfId="0" applyFont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17" xfId="1" applyNumberFormat="1" applyFont="1" applyBorder="1" applyAlignment="1">
      <alignment horizontal="center" vertical="center"/>
    </xf>
    <xf numFmtId="2" fontId="8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2" fontId="8" fillId="0" borderId="19" xfId="0" applyNumberFormat="1" applyFont="1" applyBorder="1" applyAlignment="1">
      <alignment horizontal="center" vertical="center"/>
    </xf>
    <xf numFmtId="0" fontId="8" fillId="0" borderId="12" xfId="1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/>
    <xf numFmtId="2" fontId="8" fillId="0" borderId="11" xfId="0" applyNumberFormat="1" applyFont="1" applyBorder="1" applyAlignment="1">
      <alignment horizontal="center" vertical="center"/>
    </xf>
    <xf numFmtId="10" fontId="5" fillId="0" borderId="1" xfId="1" applyNumberFormat="1" applyFont="1" applyBorder="1"/>
    <xf numFmtId="0" fontId="9" fillId="2" borderId="1" xfId="0" applyFont="1" applyFill="1" applyBorder="1" applyAlignment="1">
      <alignment horizontal="left" vertical="center" wrapText="1" indent="1"/>
    </xf>
    <xf numFmtId="164" fontId="9" fillId="2" borderId="1" xfId="0" applyNumberFormat="1" applyFont="1" applyFill="1" applyBorder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wrapText="1" indent="1"/>
    </xf>
    <xf numFmtId="2" fontId="9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5" fontId="9" fillId="2" borderId="1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0" fontId="5" fillId="0" borderId="9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 wrapText="1"/>
    </xf>
    <xf numFmtId="10" fontId="5" fillId="0" borderId="11" xfId="1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5" fillId="0" borderId="0" xfId="0" applyFont="1"/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/>
    </xf>
    <xf numFmtId="11" fontId="1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11" fontId="5" fillId="0" borderId="0" xfId="0" applyNumberFormat="1" applyFont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6" fontId="16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5" fillId="0" borderId="0" xfId="0" applyFont="1" applyAlignment="1">
      <alignment vertical="center"/>
    </xf>
    <xf numFmtId="167" fontId="16" fillId="0" borderId="26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30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167" fontId="16" fillId="0" borderId="30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2" fontId="16" fillId="0" borderId="9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5" xfId="0" quotePrefix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66" fontId="16" fillId="0" borderId="0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E990-CA99-4AC9-AA18-914ECA10A362}">
  <dimension ref="B2:U14"/>
  <sheetViews>
    <sheetView workbookViewId="0">
      <selection activeCell="G16" sqref="G16"/>
    </sheetView>
  </sheetViews>
  <sheetFormatPr defaultRowHeight="14.5" x14ac:dyDescent="0.35"/>
  <cols>
    <col min="3" max="3" width="8.7265625" bestFit="1" customWidth="1"/>
    <col min="7" max="7" width="10.08984375" bestFit="1" customWidth="1"/>
  </cols>
  <sheetData>
    <row r="2" spans="2:21" x14ac:dyDescent="0.35">
      <c r="B2" s="96" t="s">
        <v>0</v>
      </c>
      <c r="C2" s="97" t="s">
        <v>1</v>
      </c>
      <c r="D2" s="97"/>
      <c r="E2" s="98" t="s">
        <v>4</v>
      </c>
      <c r="G2" t="s">
        <v>13</v>
      </c>
      <c r="J2" t="s">
        <v>11</v>
      </c>
      <c r="P2" t="s">
        <v>12</v>
      </c>
    </row>
    <row r="3" spans="2:21" x14ac:dyDescent="0.35">
      <c r="B3" s="96"/>
      <c r="C3" s="1" t="s">
        <v>3</v>
      </c>
      <c r="D3" s="3" t="s">
        <v>10</v>
      </c>
      <c r="E3" s="97"/>
    </row>
    <row r="4" spans="2:21" x14ac:dyDescent="0.35">
      <c r="B4" s="2">
        <v>1</v>
      </c>
      <c r="C4" s="44">
        <v>373.31</v>
      </c>
      <c r="D4" s="9">
        <v>377.45</v>
      </c>
      <c r="E4" s="4">
        <f>(D4-C4)/C4</f>
        <v>1.108997883796305E-2</v>
      </c>
      <c r="I4" s="40">
        <v>1</v>
      </c>
      <c r="J4" s="41">
        <v>373</v>
      </c>
      <c r="K4" s="9">
        <v>377.45</v>
      </c>
      <c r="L4" s="39">
        <f>(K4-J4)/J4</f>
        <v>1.193029490616619E-2</v>
      </c>
      <c r="O4" s="40">
        <v>1</v>
      </c>
      <c r="P4" s="40">
        <v>373.31</v>
      </c>
      <c r="Q4" s="9">
        <v>377.45</v>
      </c>
      <c r="R4" s="39">
        <f>(Q4-P4)/P4</f>
        <v>1.108997883796305E-2</v>
      </c>
      <c r="T4" s="42"/>
      <c r="U4" s="42"/>
    </row>
    <row r="5" spans="2:21" x14ac:dyDescent="0.35">
      <c r="B5" s="2">
        <v>2</v>
      </c>
      <c r="C5" s="44">
        <v>1373.8</v>
      </c>
      <c r="D5" s="9">
        <v>1388.73</v>
      </c>
      <c r="E5" s="4">
        <f t="shared" ref="E5:E13" si="0">(D5-C5)/C5</f>
        <v>1.0867666326976317E-2</v>
      </c>
      <c r="I5" s="40">
        <v>2</v>
      </c>
      <c r="J5" s="41">
        <v>1371.5</v>
      </c>
      <c r="K5" s="9">
        <v>1388.73</v>
      </c>
      <c r="L5" s="39">
        <f t="shared" ref="L5:L13" si="1">(K5-J5)/J5</f>
        <v>1.2562887349617221E-2</v>
      </c>
      <c r="O5" s="40">
        <v>2</v>
      </c>
      <c r="P5" s="40">
        <v>1373.8</v>
      </c>
      <c r="Q5" s="9">
        <v>1388.73</v>
      </c>
      <c r="R5" s="39">
        <f t="shared" ref="R5:R13" si="2">(Q5-P5)/P5</f>
        <v>1.0867666326976317E-2</v>
      </c>
      <c r="T5" s="43"/>
      <c r="U5" s="43"/>
    </row>
    <row r="6" spans="2:21" x14ac:dyDescent="0.35">
      <c r="B6" s="2">
        <v>3</v>
      </c>
      <c r="C6" s="44">
        <v>2212.1</v>
      </c>
      <c r="D6" s="9">
        <v>2248.29</v>
      </c>
      <c r="E6" s="4">
        <f t="shared" si="0"/>
        <v>1.6360019890601717E-2</v>
      </c>
      <c r="I6" s="40">
        <v>3</v>
      </c>
      <c r="J6" s="41">
        <v>2209.5</v>
      </c>
      <c r="K6" s="9">
        <v>2248.29</v>
      </c>
      <c r="L6" s="39">
        <f t="shared" si="1"/>
        <v>1.7556008146639494E-2</v>
      </c>
      <c r="O6" s="40">
        <v>3</v>
      </c>
      <c r="P6" s="40">
        <v>2212.1</v>
      </c>
      <c r="Q6" s="9">
        <v>2248.29</v>
      </c>
      <c r="R6" s="39">
        <f t="shared" si="2"/>
        <v>1.6360019890601717E-2</v>
      </c>
      <c r="T6" s="43"/>
      <c r="U6" s="43"/>
    </row>
    <row r="7" spans="2:21" x14ac:dyDescent="0.35">
      <c r="B7" s="2">
        <v>4</v>
      </c>
      <c r="C7" s="44">
        <v>2498.4</v>
      </c>
      <c r="D7" s="9">
        <v>2548.02</v>
      </c>
      <c r="E7" s="4">
        <f t="shared" si="0"/>
        <v>1.986071085494712E-2</v>
      </c>
      <c r="I7" s="40">
        <v>4</v>
      </c>
      <c r="J7" s="41">
        <v>2499.1999999999998</v>
      </c>
      <c r="K7" s="9">
        <v>2548.02</v>
      </c>
      <c r="L7" s="39">
        <f t="shared" si="1"/>
        <v>1.9534250960307364E-2</v>
      </c>
      <c r="O7" s="40">
        <v>4</v>
      </c>
      <c r="P7" s="40">
        <v>2498.4</v>
      </c>
      <c r="Q7" s="9">
        <v>2548.02</v>
      </c>
      <c r="R7" s="39">
        <f t="shared" si="2"/>
        <v>1.986071085494712E-2</v>
      </c>
      <c r="T7" s="43"/>
      <c r="U7" s="43"/>
    </row>
    <row r="8" spans="2:21" x14ac:dyDescent="0.35">
      <c r="B8" s="2">
        <v>5</v>
      </c>
      <c r="C8" s="44">
        <v>4109</v>
      </c>
      <c r="D8" s="9">
        <v>4191.55</v>
      </c>
      <c r="E8" s="4">
        <f t="shared" si="0"/>
        <v>2.0090046239961107E-2</v>
      </c>
      <c r="I8" s="40">
        <v>5</v>
      </c>
      <c r="J8" s="41">
        <v>4099.5</v>
      </c>
      <c r="K8" s="9">
        <v>4191.55</v>
      </c>
      <c r="L8" s="39">
        <f t="shared" si="1"/>
        <v>2.2453957799731718E-2</v>
      </c>
      <c r="O8" s="40">
        <v>5</v>
      </c>
      <c r="P8" s="40">
        <v>4109</v>
      </c>
      <c r="Q8" s="9">
        <v>4191.55</v>
      </c>
      <c r="R8" s="39">
        <f t="shared" si="2"/>
        <v>2.0090046239961107E-2</v>
      </c>
      <c r="T8" s="43"/>
      <c r="U8" s="43"/>
    </row>
    <row r="9" spans="2:21" x14ac:dyDescent="0.35">
      <c r="B9" s="2">
        <v>6</v>
      </c>
      <c r="C9" s="44">
        <v>5450.4</v>
      </c>
      <c r="D9" s="9">
        <v>5609.42</v>
      </c>
      <c r="E9" s="4">
        <f t="shared" si="0"/>
        <v>2.9175840305298777E-2</v>
      </c>
      <c r="I9" s="40">
        <v>6</v>
      </c>
      <c r="J9" s="41">
        <v>5437.3</v>
      </c>
      <c r="K9" s="9">
        <v>5609.42</v>
      </c>
      <c r="L9" s="39">
        <f t="shared" si="1"/>
        <v>3.1655417210747959E-2</v>
      </c>
      <c r="O9" s="40">
        <v>6</v>
      </c>
      <c r="P9" s="40">
        <v>5450.4</v>
      </c>
      <c r="Q9" s="9">
        <v>5609.42</v>
      </c>
      <c r="R9" s="39">
        <f t="shared" si="2"/>
        <v>2.9175840305298777E-2</v>
      </c>
      <c r="T9" s="43"/>
      <c r="U9" s="43"/>
    </row>
    <row r="10" spans="2:21" x14ac:dyDescent="0.35">
      <c r="B10" s="2">
        <v>7</v>
      </c>
      <c r="C10" s="44">
        <v>6959.4</v>
      </c>
      <c r="D10" s="9">
        <v>7393.75</v>
      </c>
      <c r="E10" s="4">
        <f t="shared" si="0"/>
        <v>6.241198953932816E-2</v>
      </c>
      <c r="I10" s="40">
        <v>7</v>
      </c>
      <c r="J10" s="41">
        <v>6931.6</v>
      </c>
      <c r="K10" s="9">
        <v>7393.75</v>
      </c>
      <c r="L10" s="39">
        <f t="shared" si="1"/>
        <v>6.6672918229557329E-2</v>
      </c>
      <c r="O10" s="40">
        <v>7</v>
      </c>
      <c r="P10" s="40">
        <v>6959.4</v>
      </c>
      <c r="Q10" s="9">
        <v>7393.75</v>
      </c>
      <c r="R10" s="39">
        <f t="shared" si="2"/>
        <v>6.241198953932816E-2</v>
      </c>
      <c r="T10" s="43"/>
      <c r="U10" s="43"/>
    </row>
    <row r="11" spans="2:21" x14ac:dyDescent="0.35">
      <c r="B11" s="2">
        <v>8</v>
      </c>
      <c r="C11" s="44">
        <v>7506.2</v>
      </c>
      <c r="D11" s="9">
        <v>7769.14</v>
      </c>
      <c r="E11" s="4">
        <f t="shared" si="0"/>
        <v>3.5029708774080161E-2</v>
      </c>
      <c r="I11" s="40">
        <v>8</v>
      </c>
      <c r="J11" s="41">
        <v>7484.5</v>
      </c>
      <c r="K11" s="9">
        <v>7769.14</v>
      </c>
      <c r="L11" s="39">
        <f t="shared" si="1"/>
        <v>3.8030596566236932E-2</v>
      </c>
      <c r="O11" s="40">
        <v>8</v>
      </c>
      <c r="P11" s="40">
        <v>7506.2</v>
      </c>
      <c r="Q11" s="9">
        <v>7769.14</v>
      </c>
      <c r="R11" s="39">
        <f t="shared" si="2"/>
        <v>3.5029708774080161E-2</v>
      </c>
      <c r="T11" s="43"/>
      <c r="U11" s="43"/>
    </row>
    <row r="12" spans="2:21" x14ac:dyDescent="0.35">
      <c r="B12" s="2">
        <v>9</v>
      </c>
      <c r="C12" s="44">
        <v>8468.2999999999993</v>
      </c>
      <c r="D12" s="9">
        <v>8556.2999999999993</v>
      </c>
      <c r="E12" s="4">
        <f t="shared" si="0"/>
        <v>1.0391696090124348E-2</v>
      </c>
      <c r="I12" s="40">
        <v>9</v>
      </c>
      <c r="J12" s="41">
        <v>8467.4</v>
      </c>
      <c r="K12" s="9">
        <v>8556.2999999999993</v>
      </c>
      <c r="L12" s="39">
        <f t="shared" si="1"/>
        <v>1.0499090629945395E-2</v>
      </c>
      <c r="O12" s="40">
        <v>9</v>
      </c>
      <c r="P12" s="40">
        <v>8468.2999999999993</v>
      </c>
      <c r="Q12" s="9">
        <v>8556.2999999999993</v>
      </c>
      <c r="R12" s="39">
        <f t="shared" si="2"/>
        <v>1.0391696090124348E-2</v>
      </c>
      <c r="T12" s="43"/>
      <c r="U12" s="43"/>
    </row>
    <row r="13" spans="2:21" x14ac:dyDescent="0.35">
      <c r="B13" s="2">
        <v>10</v>
      </c>
      <c r="C13" s="44">
        <v>8600.1</v>
      </c>
      <c r="D13" s="9">
        <v>9023.81</v>
      </c>
      <c r="E13" s="4">
        <f t="shared" si="0"/>
        <v>4.9268031767072375E-2</v>
      </c>
      <c r="I13" s="40">
        <v>10</v>
      </c>
      <c r="J13" s="41">
        <v>8560.9</v>
      </c>
      <c r="K13" s="9">
        <v>9023.81</v>
      </c>
      <c r="L13" s="39">
        <f t="shared" si="1"/>
        <v>5.407258582625657E-2</v>
      </c>
      <c r="O13" s="40">
        <v>10</v>
      </c>
      <c r="P13" s="40">
        <v>8600.1</v>
      </c>
      <c r="Q13" s="9">
        <v>9023.81</v>
      </c>
      <c r="R13" s="39">
        <f t="shared" si="2"/>
        <v>4.9268031767072375E-2</v>
      </c>
      <c r="T13" s="43"/>
      <c r="U13" s="43"/>
    </row>
    <row r="14" spans="2:21" x14ac:dyDescent="0.35">
      <c r="T14" s="43"/>
      <c r="U14" s="43"/>
    </row>
  </sheetData>
  <mergeCells count="3">
    <mergeCell ref="B2:B3"/>
    <mergeCell ref="C2:D2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E317-821F-40E3-8D6B-630E7E9ACF49}">
  <dimension ref="B2:I14"/>
  <sheetViews>
    <sheetView zoomScale="102" workbookViewId="0">
      <selection activeCell="K9" sqref="K9"/>
    </sheetView>
  </sheetViews>
  <sheetFormatPr defaultRowHeight="14.5" x14ac:dyDescent="0.35"/>
  <cols>
    <col min="2" max="2" width="4.26953125" bestFit="1" customWidth="1"/>
    <col min="3" max="3" width="5.36328125" bestFit="1" customWidth="1"/>
    <col min="4" max="6" width="5.7265625" bestFit="1" customWidth="1"/>
    <col min="7" max="9" width="5.36328125" bestFit="1" customWidth="1"/>
  </cols>
  <sheetData>
    <row r="2" spans="2:9" ht="15" thickBot="1" x14ac:dyDescent="0.4"/>
    <row r="3" spans="2:9" ht="15" thickBot="1" x14ac:dyDescent="0.4">
      <c r="B3" s="102" t="s">
        <v>0</v>
      </c>
      <c r="C3" s="99" t="s">
        <v>14</v>
      </c>
      <c r="D3" s="100"/>
      <c r="E3" s="100"/>
      <c r="F3" s="100"/>
      <c r="G3" s="100"/>
      <c r="H3" s="100"/>
      <c r="I3" s="101"/>
    </row>
    <row r="4" spans="2:9" ht="15" thickBot="1" x14ac:dyDescent="0.4">
      <c r="B4" s="103"/>
      <c r="C4" s="22">
        <v>12</v>
      </c>
      <c r="D4" s="22">
        <v>11</v>
      </c>
      <c r="E4" s="22">
        <v>8</v>
      </c>
      <c r="F4" s="22">
        <v>7</v>
      </c>
      <c r="G4" s="22">
        <v>4</v>
      </c>
      <c r="H4" s="22">
        <v>2</v>
      </c>
      <c r="I4" s="23">
        <v>1</v>
      </c>
    </row>
    <row r="5" spans="2:9" x14ac:dyDescent="0.35">
      <c r="B5" s="24">
        <v>1</v>
      </c>
      <c r="C5" s="25">
        <v>377.45</v>
      </c>
      <c r="D5" s="26">
        <v>379.69</v>
      </c>
      <c r="E5" s="27">
        <v>384.96</v>
      </c>
      <c r="F5" s="27">
        <v>388.39</v>
      </c>
      <c r="G5" s="25">
        <v>410.36</v>
      </c>
      <c r="H5" s="25">
        <v>498.39</v>
      </c>
      <c r="I5" s="28">
        <v>2482.0500000000002</v>
      </c>
    </row>
    <row r="6" spans="2:9" x14ac:dyDescent="0.35">
      <c r="B6" s="29">
        <v>2</v>
      </c>
      <c r="C6" s="30">
        <v>1388.73</v>
      </c>
      <c r="D6" s="31">
        <v>1394.03</v>
      </c>
      <c r="E6" s="32">
        <v>1407.78</v>
      </c>
      <c r="F6" s="32">
        <v>1415.94</v>
      </c>
      <c r="G6" s="30">
        <v>1483.57</v>
      </c>
      <c r="H6" s="30">
        <v>1910.89</v>
      </c>
      <c r="I6" s="33"/>
    </row>
    <row r="7" spans="2:9" x14ac:dyDescent="0.35">
      <c r="B7" s="29">
        <v>3</v>
      </c>
      <c r="C7" s="30">
        <v>2248.29</v>
      </c>
      <c r="D7" s="31">
        <v>2264.48</v>
      </c>
      <c r="E7" s="32">
        <v>2299.36</v>
      </c>
      <c r="F7" s="32">
        <v>2326.25</v>
      </c>
      <c r="G7" s="30">
        <v>2492.0700000000002</v>
      </c>
      <c r="H7" s="30">
        <v>7562.92</v>
      </c>
      <c r="I7" s="33"/>
    </row>
    <row r="8" spans="2:9" x14ac:dyDescent="0.35">
      <c r="B8" s="29">
        <v>4</v>
      </c>
      <c r="C8" s="30">
        <v>2548.02</v>
      </c>
      <c r="D8" s="31">
        <v>2554.4699999999998</v>
      </c>
      <c r="E8" s="32">
        <v>2581.87</v>
      </c>
      <c r="F8" s="32">
        <v>2595.7199999999998</v>
      </c>
      <c r="G8" s="30">
        <v>2688.43</v>
      </c>
      <c r="H8" s="30">
        <v>2960.58</v>
      </c>
      <c r="I8" s="33">
        <v>7160.53</v>
      </c>
    </row>
    <row r="9" spans="2:9" x14ac:dyDescent="0.35">
      <c r="B9" s="29">
        <v>5</v>
      </c>
      <c r="C9" s="30">
        <v>4191.55</v>
      </c>
      <c r="D9" s="31">
        <v>4220.79</v>
      </c>
      <c r="E9" s="32">
        <v>4279.41</v>
      </c>
      <c r="F9" s="32">
        <v>4335.0600000000004</v>
      </c>
      <c r="G9" s="30">
        <v>4601.32</v>
      </c>
      <c r="H9" s="30">
        <v>8489.7999999999993</v>
      </c>
      <c r="I9" s="33"/>
    </row>
    <row r="10" spans="2:9" x14ac:dyDescent="0.35">
      <c r="B10" s="29">
        <v>6</v>
      </c>
      <c r="C10" s="30">
        <v>5609.42</v>
      </c>
      <c r="D10" s="31">
        <v>5667.34</v>
      </c>
      <c r="E10" s="32">
        <v>5785.69</v>
      </c>
      <c r="F10" s="32">
        <v>5885.76</v>
      </c>
      <c r="G10" s="30">
        <v>6817.6</v>
      </c>
      <c r="H10" s="30"/>
      <c r="I10" s="33"/>
    </row>
    <row r="11" spans="2:9" x14ac:dyDescent="0.35">
      <c r="B11" s="29">
        <v>7</v>
      </c>
      <c r="C11" s="30">
        <v>7393.75</v>
      </c>
      <c r="D11" s="31">
        <v>7525.44</v>
      </c>
      <c r="E11" s="32">
        <v>7707.12</v>
      </c>
      <c r="F11" s="32">
        <v>7872.09</v>
      </c>
      <c r="G11" s="30"/>
      <c r="H11" s="30"/>
      <c r="I11" s="33"/>
    </row>
    <row r="12" spans="2:9" x14ac:dyDescent="0.35">
      <c r="B12" s="29">
        <v>8</v>
      </c>
      <c r="C12" s="30">
        <v>7769.14</v>
      </c>
      <c r="D12" s="31">
        <v>7899.37</v>
      </c>
      <c r="E12" s="32">
        <v>8105.51</v>
      </c>
      <c r="F12" s="32">
        <v>8452.86</v>
      </c>
      <c r="G12" s="30"/>
      <c r="H12" s="30"/>
      <c r="I12" s="33"/>
    </row>
    <row r="13" spans="2:9" x14ac:dyDescent="0.35">
      <c r="B13" s="29">
        <v>9</v>
      </c>
      <c r="C13" s="30">
        <v>8556.2999999999993</v>
      </c>
      <c r="D13" s="31">
        <v>8570.76</v>
      </c>
      <c r="E13" s="32">
        <v>8615.26</v>
      </c>
      <c r="F13" s="32">
        <v>8645.26</v>
      </c>
      <c r="G13" s="30">
        <v>8778.48</v>
      </c>
      <c r="H13" s="30">
        <v>9102.26</v>
      </c>
      <c r="I13" s="33"/>
    </row>
    <row r="14" spans="2:9" ht="15" thickBot="1" x14ac:dyDescent="0.4">
      <c r="B14" s="34">
        <v>10</v>
      </c>
      <c r="C14" s="35">
        <v>9023.81</v>
      </c>
      <c r="D14" s="36">
        <v>9170.94</v>
      </c>
      <c r="E14" s="37">
        <v>9427.43</v>
      </c>
      <c r="F14" s="36"/>
      <c r="G14" s="35"/>
      <c r="H14" s="35"/>
      <c r="I14" s="38"/>
    </row>
  </sheetData>
  <mergeCells count="2">
    <mergeCell ref="C3:I3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C492-A3BA-466F-8E62-8DBEC9DFC991}">
  <dimension ref="B1:X31"/>
  <sheetViews>
    <sheetView workbookViewId="0">
      <selection activeCell="M4" sqref="M4:M14"/>
    </sheetView>
  </sheetViews>
  <sheetFormatPr defaultRowHeight="14" x14ac:dyDescent="0.35"/>
  <cols>
    <col min="1" max="1" width="8.7265625" style="5"/>
    <col min="2" max="2" width="5.6328125" style="5" bestFit="1" customWidth="1"/>
    <col min="3" max="4" width="7.36328125" style="5" bestFit="1" customWidth="1"/>
    <col min="5" max="5" width="7" style="5" bestFit="1" customWidth="1"/>
    <col min="6" max="6" width="8.7265625" style="5"/>
    <col min="7" max="7" width="7.36328125" style="5" bestFit="1" customWidth="1"/>
    <col min="8" max="10" width="7.81640625" style="5" bestFit="1" customWidth="1"/>
    <col min="11" max="11" width="7.36328125" style="5" bestFit="1" customWidth="1"/>
    <col min="12" max="13" width="7.81640625" style="5" bestFit="1" customWidth="1"/>
    <col min="14" max="14" width="7.36328125" style="5" bestFit="1" customWidth="1"/>
    <col min="15" max="15" width="7.81640625" style="5" bestFit="1" customWidth="1"/>
    <col min="16" max="16" width="8.36328125" style="5" bestFit="1" customWidth="1"/>
    <col min="17" max="17" width="8.81640625" style="5" bestFit="1" customWidth="1"/>
    <col min="18" max="18" width="7.36328125" style="5" customWidth="1"/>
    <col min="19" max="19" width="6.453125" style="5" bestFit="1" customWidth="1"/>
    <col min="20" max="16384" width="8.7265625" style="5"/>
  </cols>
  <sheetData>
    <row r="1" spans="2:24" ht="14.5" thickBot="1" x14ac:dyDescent="0.4"/>
    <row r="2" spans="2:24" ht="15" customHeight="1" thickBot="1" x14ac:dyDescent="0.4">
      <c r="B2" s="96" t="s">
        <v>0</v>
      </c>
      <c r="C2" s="97" t="s">
        <v>1</v>
      </c>
      <c r="D2" s="97"/>
      <c r="E2" s="98" t="s">
        <v>4</v>
      </c>
      <c r="G2" s="105" t="s">
        <v>2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7"/>
    </row>
    <row r="3" spans="2:24" x14ac:dyDescent="0.35">
      <c r="B3" s="96"/>
      <c r="C3" s="1" t="s">
        <v>3</v>
      </c>
      <c r="D3" s="3" t="s">
        <v>10</v>
      </c>
      <c r="E3" s="97"/>
      <c r="F3" s="6">
        <v>13</v>
      </c>
      <c r="G3" s="3">
        <v>12</v>
      </c>
      <c r="H3" s="3">
        <v>11</v>
      </c>
      <c r="I3" s="3">
        <v>10</v>
      </c>
      <c r="J3" s="3">
        <v>9</v>
      </c>
      <c r="K3" s="3">
        <v>8</v>
      </c>
      <c r="L3" s="3">
        <v>7</v>
      </c>
      <c r="M3" s="3">
        <v>6</v>
      </c>
      <c r="N3" s="3">
        <v>5</v>
      </c>
      <c r="O3" s="3">
        <v>4</v>
      </c>
      <c r="P3" s="3">
        <v>3</v>
      </c>
      <c r="Q3" s="3">
        <v>2</v>
      </c>
      <c r="R3" s="3">
        <v>1</v>
      </c>
      <c r="S3" s="13" t="s">
        <v>9</v>
      </c>
      <c r="T3" s="6"/>
      <c r="U3" s="6"/>
      <c r="V3" s="6"/>
      <c r="W3" s="6"/>
      <c r="X3" s="6"/>
    </row>
    <row r="4" spans="2:24" ht="14.5" x14ac:dyDescent="0.35">
      <c r="B4" s="2">
        <v>1</v>
      </c>
      <c r="C4" s="8">
        <v>371.8</v>
      </c>
      <c r="D4" s="9">
        <v>377.45</v>
      </c>
      <c r="E4" s="4">
        <f>(D4-C4)/C4</f>
        <v>1.5196342119418981E-2</v>
      </c>
      <c r="F4" s="21">
        <v>376.27</v>
      </c>
      <c r="G4" s="9">
        <v>377.45</v>
      </c>
      <c r="H4" s="7">
        <v>379.69</v>
      </c>
      <c r="I4" s="17">
        <v>380.86</v>
      </c>
      <c r="J4" s="17">
        <v>382.84</v>
      </c>
      <c r="K4" s="17">
        <v>384.96</v>
      </c>
      <c r="L4" s="17">
        <v>388.39</v>
      </c>
      <c r="M4" s="17">
        <v>392.47</v>
      </c>
      <c r="N4" s="18">
        <v>399.81</v>
      </c>
      <c r="O4" s="9">
        <v>410.36</v>
      </c>
      <c r="P4" s="9">
        <v>433.63</v>
      </c>
      <c r="Q4" s="9">
        <v>498.39</v>
      </c>
      <c r="R4" s="9">
        <v>2482.0500000000002</v>
      </c>
      <c r="S4" s="14">
        <v>1</v>
      </c>
    </row>
    <row r="5" spans="2:24" ht="14.5" x14ac:dyDescent="0.35">
      <c r="B5" s="2">
        <v>2</v>
      </c>
      <c r="C5" s="8">
        <v>1368.3</v>
      </c>
      <c r="D5" s="9">
        <v>1388.73</v>
      </c>
      <c r="E5" s="4">
        <f t="shared" ref="E5:E13" si="0">(D5-C5)/C5</f>
        <v>1.4930936198202197E-2</v>
      </c>
      <c r="F5" s="21">
        <v>1387.82</v>
      </c>
      <c r="G5" s="9">
        <v>1388.73</v>
      </c>
      <c r="H5" s="7">
        <v>1394.03</v>
      </c>
      <c r="I5" s="17">
        <v>1397.09</v>
      </c>
      <c r="J5" s="17">
        <v>1401.9</v>
      </c>
      <c r="K5" s="17">
        <v>1407.78</v>
      </c>
      <c r="L5" s="17">
        <v>1415.94</v>
      </c>
      <c r="M5" s="17">
        <v>1428.44</v>
      </c>
      <c r="N5" s="18">
        <v>1445.71</v>
      </c>
      <c r="O5" s="9">
        <v>1483.57</v>
      </c>
      <c r="P5" s="9">
        <v>1533.15</v>
      </c>
      <c r="Q5" s="9">
        <v>1910.89</v>
      </c>
      <c r="R5" s="9"/>
      <c r="S5" s="14">
        <v>2</v>
      </c>
    </row>
    <row r="6" spans="2:24" ht="14.5" x14ac:dyDescent="0.35">
      <c r="B6" s="2">
        <v>3</v>
      </c>
      <c r="C6" s="8">
        <v>2202.6999999999998</v>
      </c>
      <c r="D6" s="9">
        <v>2248.29</v>
      </c>
      <c r="E6" s="4">
        <f t="shared" si="0"/>
        <v>2.0697326008989037E-2</v>
      </c>
      <c r="F6" s="21">
        <v>2233.19</v>
      </c>
      <c r="G6" s="9">
        <v>2248.29</v>
      </c>
      <c r="H6" s="7">
        <v>2264.48</v>
      </c>
      <c r="I6" s="17">
        <v>2271.2399999999998</v>
      </c>
      <c r="J6" s="17">
        <v>2286.4299999999998</v>
      </c>
      <c r="K6" s="17">
        <v>2299.36</v>
      </c>
      <c r="L6" s="17">
        <v>2326.25</v>
      </c>
      <c r="M6" s="17">
        <v>2352.73</v>
      </c>
      <c r="N6" s="18">
        <v>2415.0700000000002</v>
      </c>
      <c r="O6" s="9">
        <v>2492.0700000000002</v>
      </c>
      <c r="P6" s="9">
        <v>2807.63</v>
      </c>
      <c r="Q6" s="9">
        <v>7562.92</v>
      </c>
      <c r="R6" s="9"/>
      <c r="S6" s="14">
        <v>3</v>
      </c>
    </row>
    <row r="7" spans="2:24" ht="14.5" x14ac:dyDescent="0.35">
      <c r="B7" s="2">
        <v>4</v>
      </c>
      <c r="C7" s="8">
        <v>2496.8000000000002</v>
      </c>
      <c r="D7" s="9">
        <v>2548.02</v>
      </c>
      <c r="E7" s="4">
        <f t="shared" si="0"/>
        <v>2.0514258250560635E-2</v>
      </c>
      <c r="F7" s="21">
        <v>2530.9</v>
      </c>
      <c r="G7" s="9">
        <v>2548.02</v>
      </c>
      <c r="H7" s="7">
        <v>2554.4699999999998</v>
      </c>
      <c r="I7" s="17">
        <v>2563.33</v>
      </c>
      <c r="J7" s="17">
        <v>2571.0100000000002</v>
      </c>
      <c r="K7" s="17">
        <v>2581.87</v>
      </c>
      <c r="L7" s="17">
        <v>2595.7199999999998</v>
      </c>
      <c r="M7" s="17">
        <v>2615.15</v>
      </c>
      <c r="N7" s="18">
        <v>2643.4</v>
      </c>
      <c r="O7" s="9">
        <v>2688.43</v>
      </c>
      <c r="P7" s="9">
        <v>2780.35</v>
      </c>
      <c r="Q7" s="9">
        <v>2960.58</v>
      </c>
      <c r="R7" s="9">
        <v>7160.53</v>
      </c>
      <c r="S7" s="14">
        <v>4</v>
      </c>
    </row>
    <row r="8" spans="2:24" ht="14.5" x14ac:dyDescent="0.35">
      <c r="B8" s="2">
        <v>5</v>
      </c>
      <c r="C8" s="8">
        <v>4088.2</v>
      </c>
      <c r="D8" s="9">
        <v>4191.55</v>
      </c>
      <c r="E8" s="4">
        <f t="shared" si="0"/>
        <v>2.5280074360354281E-2</v>
      </c>
      <c r="F8" s="21">
        <v>3256.34</v>
      </c>
      <c r="G8" s="9">
        <v>4191.55</v>
      </c>
      <c r="H8" s="7">
        <v>4220.79</v>
      </c>
      <c r="I8" s="17">
        <v>4230.38</v>
      </c>
      <c r="J8" s="17">
        <v>4260.97</v>
      </c>
      <c r="K8" s="17">
        <v>4279.41</v>
      </c>
      <c r="L8" s="17">
        <v>4335.0600000000004</v>
      </c>
      <c r="M8" s="17">
        <v>4372.07</v>
      </c>
      <c r="N8" s="18">
        <v>4507.82</v>
      </c>
      <c r="O8" s="9">
        <v>4601.32</v>
      </c>
      <c r="P8" s="9">
        <v>5339.39</v>
      </c>
      <c r="Q8" s="9">
        <v>8489.7999999999993</v>
      </c>
      <c r="R8" s="9"/>
      <c r="S8" s="14">
        <v>5</v>
      </c>
    </row>
    <row r="9" spans="2:24" ht="14.5" x14ac:dyDescent="0.35">
      <c r="B9" s="2">
        <v>6</v>
      </c>
      <c r="C9" s="8">
        <v>5418.3</v>
      </c>
      <c r="D9" s="9">
        <v>5609.42</v>
      </c>
      <c r="E9" s="4">
        <f t="shared" si="0"/>
        <v>3.5273056124614711E-2</v>
      </c>
      <c r="F9" s="21">
        <v>3711.39</v>
      </c>
      <c r="G9" s="9">
        <v>5609.42</v>
      </c>
      <c r="H9" s="7">
        <v>5667.34</v>
      </c>
      <c r="I9" s="17">
        <v>5687.96</v>
      </c>
      <c r="J9" s="17">
        <v>5746.51</v>
      </c>
      <c r="K9" s="17">
        <v>5785.69</v>
      </c>
      <c r="L9" s="17">
        <v>5885.76</v>
      </c>
      <c r="M9" s="17">
        <v>5981.81</v>
      </c>
      <c r="N9" s="18">
        <v>6194.2</v>
      </c>
      <c r="O9" s="9">
        <v>6817.6</v>
      </c>
      <c r="P9" s="9"/>
      <c r="Q9" s="9"/>
      <c r="R9" s="9"/>
      <c r="S9" s="14">
        <v>6</v>
      </c>
    </row>
    <row r="10" spans="2:24" ht="14.5" x14ac:dyDescent="0.35">
      <c r="B10" s="2">
        <v>7</v>
      </c>
      <c r="C10" s="8">
        <v>6914</v>
      </c>
      <c r="D10" s="9">
        <v>7393.75</v>
      </c>
      <c r="E10" s="4">
        <f t="shared" si="0"/>
        <v>6.9388197859415676E-2</v>
      </c>
      <c r="F10" s="21">
        <v>4223.32</v>
      </c>
      <c r="G10" s="9">
        <v>7393.75</v>
      </c>
      <c r="H10" s="7">
        <v>7525.44</v>
      </c>
      <c r="I10" s="17">
        <v>7546.03</v>
      </c>
      <c r="J10" s="17">
        <v>7666.48</v>
      </c>
      <c r="K10" s="17">
        <v>7707.12</v>
      </c>
      <c r="L10" s="17">
        <v>7872.09</v>
      </c>
      <c r="M10" s="17">
        <v>7981.54</v>
      </c>
      <c r="N10" s="18">
        <v>8271.9699999999993</v>
      </c>
      <c r="O10" s="9"/>
      <c r="P10" s="9"/>
      <c r="Q10" s="9"/>
      <c r="R10" s="9"/>
      <c r="S10" s="14">
        <v>7</v>
      </c>
    </row>
    <row r="11" spans="2:24" ht="14.5" x14ac:dyDescent="0.35">
      <c r="B11" s="2">
        <v>8</v>
      </c>
      <c r="C11" s="8">
        <v>7465.1</v>
      </c>
      <c r="D11" s="9">
        <v>7769.14</v>
      </c>
      <c r="E11" s="4">
        <f t="shared" si="0"/>
        <v>4.0728188503837852E-2</v>
      </c>
      <c r="F11" s="21">
        <v>4847.22</v>
      </c>
      <c r="G11" s="9">
        <v>7769.14</v>
      </c>
      <c r="H11" s="7">
        <v>7899.37</v>
      </c>
      <c r="I11" s="17">
        <v>7912.46</v>
      </c>
      <c r="J11" s="17">
        <v>8086.33</v>
      </c>
      <c r="K11" s="17">
        <v>8105.51</v>
      </c>
      <c r="L11" s="17">
        <v>8452.86</v>
      </c>
      <c r="M11" s="17">
        <v>8480.23</v>
      </c>
      <c r="N11" s="18">
        <v>9341.9500000000007</v>
      </c>
      <c r="O11" s="9"/>
      <c r="P11" s="9"/>
      <c r="Q11" s="9"/>
      <c r="R11" s="9"/>
      <c r="S11" s="14">
        <v>8</v>
      </c>
    </row>
    <row r="12" spans="2:24" ht="14.5" x14ac:dyDescent="0.35">
      <c r="B12" s="2">
        <v>9</v>
      </c>
      <c r="C12" s="8">
        <v>8465.7999999999993</v>
      </c>
      <c r="D12" s="9">
        <v>8556.2999999999993</v>
      </c>
      <c r="E12" s="4">
        <f t="shared" si="0"/>
        <v>1.0690070637151836E-2</v>
      </c>
      <c r="F12" s="21">
        <v>5595.98</v>
      </c>
      <c r="G12" s="9">
        <v>8556.2999999999993</v>
      </c>
      <c r="H12" s="7">
        <v>8570.76</v>
      </c>
      <c r="I12" s="17">
        <v>8583.98</v>
      </c>
      <c r="J12" s="17">
        <v>8600.31</v>
      </c>
      <c r="K12" s="17">
        <v>8615.26</v>
      </c>
      <c r="L12" s="17">
        <v>8645.26</v>
      </c>
      <c r="M12" s="17">
        <v>8669.4599999999991</v>
      </c>
      <c r="N12" s="18">
        <v>8731.09</v>
      </c>
      <c r="O12" s="9">
        <v>8778.48</v>
      </c>
      <c r="P12" s="9">
        <v>8964.69</v>
      </c>
      <c r="Q12" s="9">
        <v>9102.26</v>
      </c>
      <c r="R12" s="9"/>
      <c r="S12" s="14">
        <v>9</v>
      </c>
    </row>
    <row r="13" spans="2:24" ht="15" thickBot="1" x14ac:dyDescent="0.35">
      <c r="B13" s="2">
        <v>10</v>
      </c>
      <c r="C13" s="8">
        <v>8526.2999999999993</v>
      </c>
      <c r="D13" s="9">
        <v>9023.81</v>
      </c>
      <c r="E13" s="4">
        <f t="shared" si="0"/>
        <v>5.8350046327246316E-2</v>
      </c>
      <c r="F13" s="21">
        <v>7370.66</v>
      </c>
      <c r="G13" s="9">
        <v>9023.81</v>
      </c>
      <c r="H13" s="7">
        <v>9170.94</v>
      </c>
      <c r="I13" s="17">
        <v>9205.33</v>
      </c>
      <c r="J13" s="20">
        <v>9364.56</v>
      </c>
      <c r="K13" s="20">
        <v>9427.43</v>
      </c>
      <c r="L13" s="7"/>
      <c r="M13" s="7"/>
      <c r="N13" s="7"/>
      <c r="O13" s="9"/>
      <c r="P13" s="9"/>
      <c r="Q13" s="9"/>
      <c r="R13" s="9"/>
      <c r="S13" s="15">
        <v>10</v>
      </c>
    </row>
    <row r="14" spans="2:24" x14ac:dyDescent="0.35">
      <c r="L14" s="16">
        <v>9470.94</v>
      </c>
      <c r="M14" s="16">
        <v>9540.49</v>
      </c>
      <c r="N14" s="19">
        <v>9595</v>
      </c>
      <c r="O14" s="5">
        <v>8944.65</v>
      </c>
      <c r="P14" s="10">
        <v>9942.08</v>
      </c>
      <c r="Q14" s="5">
        <v>11093.52</v>
      </c>
      <c r="R14" s="5">
        <v>12103.5</v>
      </c>
    </row>
    <row r="15" spans="2:24" x14ac:dyDescent="0.35">
      <c r="M15" s="16"/>
      <c r="N15" s="19"/>
      <c r="O15" s="5">
        <v>9417.02</v>
      </c>
      <c r="P15" s="12">
        <v>14585.74</v>
      </c>
      <c r="Q15" s="5">
        <v>27806.36</v>
      </c>
      <c r="R15" s="5">
        <v>158194.74</v>
      </c>
    </row>
    <row r="16" spans="2:24" x14ac:dyDescent="0.3">
      <c r="M16" s="16"/>
      <c r="O16" s="11">
        <v>9772.9500000000007</v>
      </c>
      <c r="P16" s="12">
        <v>15338.5</v>
      </c>
      <c r="Q16" s="5">
        <v>29535.34</v>
      </c>
      <c r="R16" s="5">
        <v>158610.73000000001</v>
      </c>
    </row>
    <row r="17" spans="10:18" x14ac:dyDescent="0.3">
      <c r="P17" s="12">
        <v>16408.98</v>
      </c>
      <c r="Q17" s="11">
        <v>38215.120000000003</v>
      </c>
    </row>
    <row r="20" spans="10:18" x14ac:dyDescent="0.35"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0:18" x14ac:dyDescent="0.35">
      <c r="J21" s="6"/>
      <c r="K21" s="6"/>
      <c r="L21" s="6"/>
      <c r="M21" s="6"/>
      <c r="N21" s="6"/>
      <c r="O21" s="6"/>
      <c r="P21" s="6"/>
      <c r="Q21" s="6"/>
      <c r="R21" s="6"/>
    </row>
    <row r="31" spans="10:18" x14ac:dyDescent="0.3">
      <c r="M31" s="11"/>
      <c r="Q31" s="11"/>
      <c r="R31" s="11"/>
    </row>
  </sheetData>
  <mergeCells count="5">
    <mergeCell ref="J20:R20"/>
    <mergeCell ref="G2:R2"/>
    <mergeCell ref="C2:D2"/>
    <mergeCell ref="B2:B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1E74-8145-4917-BA90-52534CCE1A1F}">
  <dimension ref="B2:V15"/>
  <sheetViews>
    <sheetView zoomScaleNormal="100" workbookViewId="0">
      <selection activeCell="L12" sqref="L12"/>
    </sheetView>
  </sheetViews>
  <sheetFormatPr defaultRowHeight="14" x14ac:dyDescent="0.3"/>
  <cols>
    <col min="1" max="1" width="8.7265625" style="57"/>
    <col min="2" max="2" width="6" style="57" customWidth="1"/>
    <col min="3" max="3" width="7.08984375" style="57" bestFit="1" customWidth="1"/>
    <col min="4" max="4" width="6.08984375" style="57" bestFit="1" customWidth="1"/>
    <col min="5" max="5" width="8.08984375" style="57" bestFit="1" customWidth="1"/>
    <col min="6" max="6" width="4.7265625" style="57" bestFit="1" customWidth="1"/>
    <col min="7" max="8" width="5" style="57" bestFit="1" customWidth="1"/>
    <col min="9" max="10" width="4.7265625" style="57" bestFit="1" customWidth="1"/>
    <col min="11" max="16384" width="8.7265625" style="57"/>
  </cols>
  <sheetData>
    <row r="2" spans="2:22" ht="14.5" thickBot="1" x14ac:dyDescent="0.35">
      <c r="B2" s="57" t="s">
        <v>8</v>
      </c>
    </row>
    <row r="3" spans="2:22" x14ac:dyDescent="0.3">
      <c r="B3" s="58" t="s">
        <v>0</v>
      </c>
      <c r="C3" s="59" t="s">
        <v>5</v>
      </c>
      <c r="D3" s="59" t="s">
        <v>6</v>
      </c>
      <c r="E3" s="54" t="s">
        <v>7</v>
      </c>
      <c r="F3" s="60"/>
      <c r="G3" s="60"/>
      <c r="H3" s="60"/>
      <c r="I3" s="60"/>
      <c r="J3" s="60"/>
    </row>
    <row r="4" spans="2:22" x14ac:dyDescent="0.3">
      <c r="B4" s="61">
        <v>1</v>
      </c>
      <c r="C4" s="62">
        <v>0.98699999999999999</v>
      </c>
      <c r="D4" s="62">
        <v>1.2999999999999999E-2</v>
      </c>
      <c r="E4" s="63">
        <v>0</v>
      </c>
      <c r="F4" s="64"/>
      <c r="G4" s="64"/>
      <c r="H4" s="64"/>
      <c r="I4" s="64"/>
      <c r="J4" s="64"/>
    </row>
    <row r="5" spans="2:22" x14ac:dyDescent="0.3">
      <c r="B5" s="61">
        <v>2</v>
      </c>
      <c r="C5" s="62">
        <v>0.95199999999999996</v>
      </c>
      <c r="D5" s="62">
        <v>4.8000000000000001E-2</v>
      </c>
      <c r="E5" s="63">
        <v>0</v>
      </c>
      <c r="F5" s="64"/>
      <c r="G5" s="64"/>
      <c r="H5" s="64"/>
      <c r="I5" s="64"/>
      <c r="J5" s="64"/>
      <c r="N5" s="65"/>
      <c r="O5" s="65"/>
      <c r="P5" s="65"/>
      <c r="Q5" s="65"/>
      <c r="R5" s="65"/>
      <c r="S5" s="65"/>
      <c r="T5" s="65"/>
      <c r="U5" s="65"/>
      <c r="V5" s="65"/>
    </row>
    <row r="6" spans="2:22" x14ac:dyDescent="0.3">
      <c r="B6" s="61">
        <v>3</v>
      </c>
      <c r="C6" s="62">
        <v>0.95599999999999996</v>
      </c>
      <c r="D6" s="62">
        <v>4.3999999999999997E-2</v>
      </c>
      <c r="E6" s="63">
        <v>0</v>
      </c>
      <c r="F6" s="64"/>
      <c r="G6" s="64"/>
      <c r="H6" s="64"/>
      <c r="I6" s="64"/>
      <c r="J6" s="64"/>
      <c r="N6" s="65"/>
      <c r="O6" s="66"/>
      <c r="P6" s="66"/>
      <c r="Q6" s="66"/>
      <c r="R6" s="67"/>
      <c r="S6" s="67"/>
      <c r="T6" s="67"/>
      <c r="U6" s="67"/>
      <c r="V6" s="67"/>
    </row>
    <row r="7" spans="2:22" x14ac:dyDescent="0.3">
      <c r="B7" s="61">
        <v>4</v>
      </c>
      <c r="C7" s="62">
        <v>0</v>
      </c>
      <c r="D7" s="62">
        <v>0</v>
      </c>
      <c r="E7" s="63">
        <v>1</v>
      </c>
      <c r="F7" s="64"/>
      <c r="G7" s="64"/>
      <c r="H7" s="64"/>
      <c r="I7" s="64"/>
      <c r="J7" s="64"/>
      <c r="N7" s="65"/>
      <c r="O7" s="66"/>
      <c r="P7" s="66"/>
      <c r="Q7" s="66"/>
      <c r="R7" s="67"/>
      <c r="S7" s="67"/>
      <c r="T7" s="67"/>
      <c r="U7" s="67"/>
      <c r="V7" s="67"/>
    </row>
    <row r="8" spans="2:22" x14ac:dyDescent="0.3">
      <c r="B8" s="61">
        <v>5</v>
      </c>
      <c r="C8" s="62">
        <v>0.93899999999999995</v>
      </c>
      <c r="D8" s="62">
        <v>6.0999999999999999E-2</v>
      </c>
      <c r="E8" s="63">
        <v>0</v>
      </c>
      <c r="F8" s="64"/>
      <c r="G8" s="64"/>
      <c r="H8" s="64"/>
      <c r="I8" s="64"/>
      <c r="J8" s="64"/>
      <c r="N8" s="65"/>
      <c r="O8" s="66"/>
      <c r="P8" s="66"/>
      <c r="Q8" s="66"/>
      <c r="R8" s="67"/>
      <c r="S8" s="67"/>
      <c r="T8" s="67"/>
      <c r="U8" s="67"/>
      <c r="V8" s="67"/>
    </row>
    <row r="9" spans="2:22" x14ac:dyDescent="0.3">
      <c r="B9" s="61">
        <v>6</v>
      </c>
      <c r="C9" s="62">
        <v>0.92300000000000004</v>
      </c>
      <c r="D9" s="62">
        <v>7.6999999999999999E-2</v>
      </c>
      <c r="E9" s="63">
        <v>0</v>
      </c>
      <c r="F9" s="64"/>
      <c r="G9" s="64"/>
      <c r="H9" s="64"/>
      <c r="I9" s="64"/>
      <c r="J9" s="64"/>
      <c r="N9" s="65"/>
      <c r="O9" s="66"/>
      <c r="P9" s="66"/>
      <c r="Q9" s="66"/>
      <c r="R9" s="67"/>
      <c r="S9" s="67"/>
      <c r="T9" s="67"/>
      <c r="U9" s="67"/>
      <c r="V9" s="67"/>
    </row>
    <row r="10" spans="2:22" x14ac:dyDescent="0.3">
      <c r="B10" s="61">
        <v>7</v>
      </c>
      <c r="C10" s="62">
        <v>0.91300000000000003</v>
      </c>
      <c r="D10" s="62">
        <v>8.6999999999999994E-2</v>
      </c>
      <c r="E10" s="63">
        <v>0</v>
      </c>
      <c r="F10" s="64"/>
      <c r="G10" s="64"/>
      <c r="H10" s="64"/>
      <c r="I10" s="64"/>
      <c r="J10" s="64"/>
      <c r="N10" s="65"/>
      <c r="O10" s="66"/>
      <c r="P10" s="66"/>
      <c r="Q10" s="66"/>
      <c r="R10" s="67"/>
      <c r="S10" s="67"/>
      <c r="T10" s="67"/>
      <c r="U10" s="67"/>
      <c r="V10" s="67"/>
    </row>
    <row r="11" spans="2:22" x14ac:dyDescent="0.3">
      <c r="B11" s="61">
        <v>8</v>
      </c>
      <c r="C11" s="62">
        <v>0.90500000000000003</v>
      </c>
      <c r="D11" s="62">
        <v>9.5000000000000001E-2</v>
      </c>
      <c r="E11" s="63">
        <v>0</v>
      </c>
      <c r="F11" s="64"/>
      <c r="G11" s="64"/>
      <c r="H11" s="64"/>
      <c r="I11" s="64"/>
      <c r="J11" s="64"/>
      <c r="N11" s="65"/>
      <c r="O11" s="66"/>
      <c r="P11" s="66"/>
      <c r="Q11" s="66"/>
      <c r="R11" s="67"/>
      <c r="S11" s="67"/>
      <c r="T11" s="67"/>
      <c r="U11" s="67"/>
      <c r="V11" s="67"/>
    </row>
    <row r="12" spans="2:22" x14ac:dyDescent="0.3">
      <c r="B12" s="61">
        <v>9</v>
      </c>
      <c r="C12" s="62">
        <v>0</v>
      </c>
      <c r="D12" s="62">
        <v>0</v>
      </c>
      <c r="E12" s="63">
        <v>1</v>
      </c>
      <c r="F12" s="64"/>
      <c r="G12" s="64"/>
      <c r="H12" s="64"/>
      <c r="I12" s="64"/>
      <c r="J12" s="64"/>
      <c r="N12" s="65"/>
      <c r="O12" s="66"/>
      <c r="P12" s="66"/>
      <c r="Q12" s="66"/>
      <c r="R12" s="67"/>
      <c r="S12" s="67"/>
      <c r="T12" s="67"/>
      <c r="U12" s="67"/>
      <c r="V12" s="67"/>
    </row>
    <row r="13" spans="2:22" ht="14.5" thickBot="1" x14ac:dyDescent="0.35">
      <c r="B13" s="68">
        <v>10</v>
      </c>
      <c r="C13" s="69">
        <v>0.90300000000000002</v>
      </c>
      <c r="D13" s="69">
        <v>9.7000000000000003E-2</v>
      </c>
      <c r="E13" s="70">
        <v>0</v>
      </c>
      <c r="F13" s="64"/>
      <c r="G13" s="64"/>
      <c r="H13" s="64"/>
      <c r="I13" s="64"/>
      <c r="J13" s="64"/>
      <c r="N13" s="65"/>
      <c r="O13" s="66"/>
      <c r="P13" s="66"/>
      <c r="Q13" s="66"/>
      <c r="R13" s="67"/>
      <c r="S13" s="67"/>
      <c r="T13" s="67"/>
      <c r="U13" s="67"/>
      <c r="V13" s="67"/>
    </row>
    <row r="14" spans="2:22" x14ac:dyDescent="0.3">
      <c r="N14" s="65"/>
      <c r="O14" s="66"/>
      <c r="P14" s="66"/>
      <c r="Q14" s="66"/>
      <c r="R14" s="67"/>
      <c r="S14" s="67"/>
      <c r="T14" s="67"/>
      <c r="U14" s="67"/>
      <c r="V14" s="67"/>
    </row>
    <row r="15" spans="2:22" x14ac:dyDescent="0.3">
      <c r="N15" s="65"/>
      <c r="O15" s="66"/>
      <c r="P15" s="66"/>
      <c r="Q15" s="66"/>
      <c r="R15" s="67"/>
      <c r="S15" s="67"/>
      <c r="T15" s="67"/>
      <c r="U15" s="67"/>
      <c r="V15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B123-D109-490E-B64E-AD3DBEADC1C3}">
  <dimension ref="B2:M14"/>
  <sheetViews>
    <sheetView topLeftCell="A3" workbookViewId="0">
      <selection activeCell="H10" sqref="H10"/>
    </sheetView>
  </sheetViews>
  <sheetFormatPr defaultRowHeight="14.5" x14ac:dyDescent="0.35"/>
  <cols>
    <col min="7" max="7" width="6.90625" style="45" customWidth="1"/>
    <col min="8" max="8" width="6.36328125" style="46" bestFit="1" customWidth="1"/>
    <col min="10" max="10" width="5.6328125" bestFit="1" customWidth="1"/>
    <col min="11" max="12" width="8.36328125" bestFit="1" customWidth="1"/>
  </cols>
  <sheetData>
    <row r="2" spans="2:13" ht="15" thickBot="1" x14ac:dyDescent="0.4">
      <c r="G2" s="45" t="s">
        <v>15</v>
      </c>
      <c r="H2" s="46">
        <v>200000000000</v>
      </c>
    </row>
    <row r="3" spans="2:13" x14ac:dyDescent="0.35">
      <c r="B3" s="96" t="s">
        <v>0</v>
      </c>
      <c r="C3" s="97" t="s">
        <v>1</v>
      </c>
      <c r="D3" s="97"/>
      <c r="E3" s="98" t="s">
        <v>4</v>
      </c>
      <c r="G3" s="45" t="s">
        <v>16</v>
      </c>
      <c r="H3" s="46">
        <v>7850</v>
      </c>
      <c r="J3" s="110" t="s">
        <v>0</v>
      </c>
      <c r="K3" s="112" t="s">
        <v>1</v>
      </c>
      <c r="L3" s="112"/>
      <c r="M3" s="108" t="s">
        <v>4</v>
      </c>
    </row>
    <row r="4" spans="2:13" x14ac:dyDescent="0.35">
      <c r="B4" s="96"/>
      <c r="C4" s="1" t="s">
        <v>3</v>
      </c>
      <c r="D4" s="3" t="s">
        <v>10</v>
      </c>
      <c r="E4" s="97"/>
      <c r="G4" s="45" t="s">
        <v>17</v>
      </c>
      <c r="H4" s="46">
        <v>0.3</v>
      </c>
      <c r="J4" s="111"/>
      <c r="K4" s="1" t="s">
        <v>3</v>
      </c>
      <c r="L4" s="3" t="s">
        <v>10</v>
      </c>
      <c r="M4" s="109"/>
    </row>
    <row r="5" spans="2:13" x14ac:dyDescent="0.35">
      <c r="B5" s="2">
        <v>1</v>
      </c>
      <c r="C5" s="44">
        <v>373.31</v>
      </c>
      <c r="D5" s="9">
        <v>377.45</v>
      </c>
      <c r="E5" s="4">
        <f>(D5-C5)/C5</f>
        <v>1.108997883796305E-2</v>
      </c>
      <c r="G5" s="45" t="s">
        <v>18</v>
      </c>
      <c r="H5" s="46">
        <v>1.2E-2</v>
      </c>
      <c r="J5" s="49">
        <v>1</v>
      </c>
      <c r="K5" s="48">
        <f>(2*$H$7*C5*$H$6^2)*(12*$H$3*(1-$H$4^2)/($H$2*$H$5^2))^0.5</f>
        <v>2.8792668284939236</v>
      </c>
      <c r="L5" s="48">
        <f>(2*$H$7*D5*$H$6^2)*(12*$H$3*(1-$H$4^2)/($H$2*$H$5^2))^0.5</f>
        <v>2.9111978366907709</v>
      </c>
      <c r="M5" s="50">
        <f>(L5-K5)/K5</f>
        <v>1.1089978837963312E-2</v>
      </c>
    </row>
    <row r="6" spans="2:13" x14ac:dyDescent="0.35">
      <c r="B6" s="2">
        <v>2</v>
      </c>
      <c r="C6" s="44">
        <v>1373.8</v>
      </c>
      <c r="D6" s="9">
        <v>1388.73</v>
      </c>
      <c r="E6" s="4">
        <f t="shared" ref="E6:E14" si="0">(D6-C6)/C6</f>
        <v>1.0867666326976317E-2</v>
      </c>
      <c r="G6" s="45" t="s">
        <v>19</v>
      </c>
      <c r="H6" s="46">
        <v>0.15</v>
      </c>
      <c r="J6" s="49">
        <v>2</v>
      </c>
      <c r="K6" s="48">
        <f t="shared" ref="K6:K14" si="1">(2*$H$7*C6*$H$6^2)*(12*$H$3*(1-$H$4^2)/($H$2*$H$5^2))^0.5</f>
        <v>10.595850014692756</v>
      </c>
      <c r="L6" s="48">
        <f t="shared" ref="L6:L14" si="2">(2*$H$7*D6*$H$6^2)*(12*$H$3*(1-$H$4^2)/($H$2*$H$5^2))^0.5</f>
        <v>10.711002177103124</v>
      </c>
      <c r="M6" s="50">
        <f t="shared" ref="M6:M14" si="3">(L6-K6)/K6</f>
        <v>1.0867666326976316E-2</v>
      </c>
    </row>
    <row r="7" spans="2:13" x14ac:dyDescent="0.35">
      <c r="B7" s="2">
        <v>3</v>
      </c>
      <c r="C7" s="44">
        <v>2212.1</v>
      </c>
      <c r="D7" s="9">
        <v>2248.29</v>
      </c>
      <c r="E7" s="4">
        <f t="shared" si="0"/>
        <v>1.6360019890601717E-2</v>
      </c>
      <c r="G7" s="45" t="s">
        <v>20</v>
      </c>
      <c r="H7" s="47">
        <f>PI()</f>
        <v>3.1415926535897931</v>
      </c>
      <c r="J7" s="49">
        <v>3</v>
      </c>
      <c r="K7" s="48">
        <f t="shared" si="1"/>
        <v>17.0614935343586</v>
      </c>
      <c r="L7" s="48">
        <f t="shared" si="2"/>
        <v>17.340619907944081</v>
      </c>
      <c r="M7" s="50">
        <f t="shared" si="3"/>
        <v>1.636001989060179E-2</v>
      </c>
    </row>
    <row r="8" spans="2:13" x14ac:dyDescent="0.35">
      <c r="B8" s="2">
        <v>4</v>
      </c>
      <c r="C8" s="44">
        <v>2498.4</v>
      </c>
      <c r="D8" s="9">
        <v>2548.02</v>
      </c>
      <c r="E8" s="4">
        <f t="shared" si="0"/>
        <v>1.986071085494712E-2</v>
      </c>
      <c r="J8" s="49">
        <v>4</v>
      </c>
      <c r="K8" s="48">
        <f t="shared" si="1"/>
        <v>19.269669294444885</v>
      </c>
      <c r="L8" s="48">
        <f t="shared" si="2"/>
        <v>19.652378624572307</v>
      </c>
      <c r="M8" s="50">
        <f t="shared" si="3"/>
        <v>1.9860710854947106E-2</v>
      </c>
    </row>
    <row r="9" spans="2:13" x14ac:dyDescent="0.35">
      <c r="B9" s="2">
        <v>5</v>
      </c>
      <c r="C9" s="44">
        <v>4109</v>
      </c>
      <c r="D9" s="9">
        <v>4191.55</v>
      </c>
      <c r="E9" s="4">
        <f t="shared" si="0"/>
        <v>2.0090046239961107E-2</v>
      </c>
      <c r="J9" s="49">
        <v>5</v>
      </c>
      <c r="K9" s="48">
        <f t="shared" si="1"/>
        <v>31.691911275565978</v>
      </c>
      <c r="L9" s="48">
        <f t="shared" si="2"/>
        <v>32.328603238524842</v>
      </c>
      <c r="M9" s="50">
        <f t="shared" si="3"/>
        <v>2.0090046239961055E-2</v>
      </c>
    </row>
    <row r="10" spans="2:13" x14ac:dyDescent="0.35">
      <c r="B10" s="2">
        <v>6</v>
      </c>
      <c r="C10" s="44">
        <v>5450.4</v>
      </c>
      <c r="D10" s="9">
        <v>5609.42</v>
      </c>
      <c r="E10" s="4">
        <f t="shared" si="0"/>
        <v>2.9175840305298777E-2</v>
      </c>
      <c r="J10" s="49">
        <v>6</v>
      </c>
      <c r="K10" s="48">
        <f t="shared" si="1"/>
        <v>42.037866443500789</v>
      </c>
      <c r="L10" s="48">
        <f t="shared" si="2"/>
        <v>43.264356521631861</v>
      </c>
      <c r="M10" s="50">
        <f t="shared" si="3"/>
        <v>2.9175840305299114E-2</v>
      </c>
    </row>
    <row r="11" spans="2:13" x14ac:dyDescent="0.35">
      <c r="B11" s="2">
        <v>7</v>
      </c>
      <c r="C11" s="44">
        <v>6959.4</v>
      </c>
      <c r="D11" s="9">
        <v>7393.75</v>
      </c>
      <c r="E11" s="4">
        <f t="shared" si="0"/>
        <v>6.241198953932816E-2</v>
      </c>
      <c r="J11" s="49">
        <v>7</v>
      </c>
      <c r="K11" s="48">
        <f t="shared" si="1"/>
        <v>53.676487547134059</v>
      </c>
      <c r="L11" s="48">
        <f t="shared" si="2"/>
        <v>57.026543926433668</v>
      </c>
      <c r="M11" s="50">
        <f t="shared" si="3"/>
        <v>6.241198953932816E-2</v>
      </c>
    </row>
    <row r="12" spans="2:13" x14ac:dyDescent="0.35">
      <c r="B12" s="2">
        <v>8</v>
      </c>
      <c r="C12" s="44">
        <v>7506.2</v>
      </c>
      <c r="D12" s="9">
        <v>7769.14</v>
      </c>
      <c r="E12" s="4">
        <f t="shared" si="0"/>
        <v>3.5029708774080161E-2</v>
      </c>
      <c r="J12" s="49">
        <v>8</v>
      </c>
      <c r="K12" s="48">
        <f t="shared" si="1"/>
        <v>57.893848726369747</v>
      </c>
      <c r="L12" s="48">
        <f t="shared" si="2"/>
        <v>59.921853387065141</v>
      </c>
      <c r="M12" s="50">
        <f t="shared" si="3"/>
        <v>3.5029708774080348E-2</v>
      </c>
    </row>
    <row r="13" spans="2:13" x14ac:dyDescent="0.35">
      <c r="B13" s="2">
        <v>9</v>
      </c>
      <c r="C13" s="44">
        <v>8468.2999999999993</v>
      </c>
      <c r="D13" s="9">
        <v>8556.2999999999993</v>
      </c>
      <c r="E13" s="4">
        <f t="shared" si="0"/>
        <v>1.0391696090124348E-2</v>
      </c>
      <c r="J13" s="49">
        <v>9</v>
      </c>
      <c r="K13" s="48">
        <f t="shared" si="1"/>
        <v>65.31433737037608</v>
      </c>
      <c r="L13" s="48">
        <f t="shared" si="2"/>
        <v>65.993064114656889</v>
      </c>
      <c r="M13" s="50">
        <f t="shared" si="3"/>
        <v>1.0391696090124487E-2</v>
      </c>
    </row>
    <row r="14" spans="2:13" ht="15" thickBot="1" x14ac:dyDescent="0.4">
      <c r="B14" s="2">
        <v>10</v>
      </c>
      <c r="C14" s="44">
        <v>8600.1</v>
      </c>
      <c r="D14" s="9">
        <v>9023.81</v>
      </c>
      <c r="E14" s="4">
        <f t="shared" si="0"/>
        <v>4.9268031767072375E-2</v>
      </c>
      <c r="J14" s="51">
        <v>10</v>
      </c>
      <c r="K14" s="52">
        <f t="shared" si="1"/>
        <v>66.330884926014832</v>
      </c>
      <c r="L14" s="52">
        <f t="shared" si="2"/>
        <v>69.598877071687753</v>
      </c>
      <c r="M14" s="53">
        <f t="shared" si="3"/>
        <v>4.9268031767072368E-2</v>
      </c>
    </row>
  </sheetData>
  <mergeCells count="6">
    <mergeCell ref="M3:M4"/>
    <mergeCell ref="B3:B4"/>
    <mergeCell ref="C3:D3"/>
    <mergeCell ref="E3:E4"/>
    <mergeCell ref="J3:J4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1C1A-3CD8-4C6E-BB3F-1D9AE03BCD94}">
  <dimension ref="B2:R14"/>
  <sheetViews>
    <sheetView workbookViewId="0">
      <selection activeCell="H14" sqref="H14"/>
    </sheetView>
  </sheetViews>
  <sheetFormatPr defaultRowHeight="14.5" x14ac:dyDescent="0.35"/>
  <cols>
    <col min="7" max="7" width="6.90625" style="45" customWidth="1"/>
    <col min="8" max="8" width="6.36328125" style="46" bestFit="1" customWidth="1"/>
    <col min="10" max="10" width="5.6328125" bestFit="1" customWidth="1"/>
    <col min="11" max="12" width="8.36328125" bestFit="1" customWidth="1"/>
  </cols>
  <sheetData>
    <row r="2" spans="2:18" ht="15" thickBot="1" x14ac:dyDescent="0.4">
      <c r="G2" s="45" t="s">
        <v>15</v>
      </c>
      <c r="H2" s="46">
        <v>200000000000</v>
      </c>
      <c r="P2" t="s">
        <v>24</v>
      </c>
    </row>
    <row r="3" spans="2:18" x14ac:dyDescent="0.35">
      <c r="B3" s="96" t="s">
        <v>0</v>
      </c>
      <c r="C3" s="97" t="s">
        <v>1</v>
      </c>
      <c r="D3" s="97"/>
      <c r="E3" s="98" t="s">
        <v>4</v>
      </c>
      <c r="G3" s="45" t="s">
        <v>16</v>
      </c>
      <c r="H3" s="46">
        <v>7850</v>
      </c>
      <c r="J3" s="110" t="s">
        <v>0</v>
      </c>
      <c r="K3" s="112" t="s">
        <v>1</v>
      </c>
      <c r="L3" s="112"/>
      <c r="M3" s="108" t="s">
        <v>4</v>
      </c>
      <c r="P3" t="s">
        <v>23</v>
      </c>
    </row>
    <row r="4" spans="2:18" x14ac:dyDescent="0.35">
      <c r="B4" s="96"/>
      <c r="C4" s="1" t="s">
        <v>3</v>
      </c>
      <c r="D4" s="3" t="s">
        <v>10</v>
      </c>
      <c r="E4" s="97"/>
      <c r="G4" s="45" t="s">
        <v>17</v>
      </c>
      <c r="H4" s="46">
        <v>0.3</v>
      </c>
      <c r="J4" s="111"/>
      <c r="K4" s="1" t="s">
        <v>3</v>
      </c>
      <c r="L4" s="3" t="s">
        <v>10</v>
      </c>
      <c r="M4" s="109"/>
      <c r="P4" s="56" t="s">
        <v>22</v>
      </c>
      <c r="Q4" t="s">
        <v>21</v>
      </c>
      <c r="R4" t="s">
        <v>25</v>
      </c>
    </row>
    <row r="5" spans="2:18" x14ac:dyDescent="0.35">
      <c r="B5" s="2">
        <v>1</v>
      </c>
      <c r="C5" s="44">
        <v>373.31</v>
      </c>
      <c r="D5" s="18">
        <v>397.28</v>
      </c>
      <c r="E5" s="4">
        <f>(D5-C5)/C5</f>
        <v>6.4209370228496349E-2</v>
      </c>
      <c r="G5" s="45" t="s">
        <v>18</v>
      </c>
      <c r="H5" s="46">
        <f>0.12*H8</f>
        <v>1.2E-2</v>
      </c>
      <c r="J5" s="49">
        <v>1</v>
      </c>
      <c r="K5" s="48">
        <f>(2*$H$7*C5*$H$6^2)*(12*$H$3*(1-$H$4^2)/($H$2*$H$5^2))^0.5</f>
        <v>2.8792668284939236</v>
      </c>
      <c r="L5" s="48">
        <f>(2*$H$7*D5*$H$6^2)*(12*$H$3*(1-$H$4^2)/($H$2*$H$5^2))^0.5</f>
        <v>3.0641427382713187</v>
      </c>
      <c r="M5" s="50">
        <f>(L5-K5)/K5</f>
        <v>6.4209370228496432E-2</v>
      </c>
      <c r="P5">
        <v>3.0641427382713187</v>
      </c>
      <c r="Q5">
        <v>3.0836561321693923</v>
      </c>
      <c r="R5" s="55">
        <f>(P5-Q5)/P5</f>
        <v>-6.3683044703989134E-3</v>
      </c>
    </row>
    <row r="6" spans="2:18" x14ac:dyDescent="0.35">
      <c r="B6" s="2">
        <v>2</v>
      </c>
      <c r="C6" s="44">
        <v>1373.8</v>
      </c>
      <c r="D6" s="18">
        <v>1413.54</v>
      </c>
      <c r="E6" s="4">
        <f t="shared" ref="E6:E14" si="0">(D6-C6)/C6</f>
        <v>2.8927063619158547E-2</v>
      </c>
      <c r="G6" s="45" t="s">
        <v>19</v>
      </c>
      <c r="H6" s="46">
        <v>0.15</v>
      </c>
      <c r="J6" s="49">
        <v>2</v>
      </c>
      <c r="K6" s="48">
        <f t="shared" ref="K6:L14" si="1">(2*$H$7*C6*$H$6^2)*(12*$H$3*(1-$H$4^2)/($H$2*$H$5^2))^0.5</f>
        <v>10.595850014692756</v>
      </c>
      <c r="L6" s="48">
        <f t="shared" si="1"/>
        <v>10.902356842166837</v>
      </c>
      <c r="M6" s="50">
        <f t="shared" ref="M6:M14" si="2">(L6-K6)/K6</f>
        <v>2.8927063619158699E-2</v>
      </c>
      <c r="P6">
        <v>10.902356842166837</v>
      </c>
      <c r="Q6">
        <v>11.150477744024942</v>
      </c>
      <c r="R6" s="55">
        <f t="shared" ref="R6:R13" si="3">(P6-Q6)/P6</f>
        <v>-2.2758464564143811E-2</v>
      </c>
    </row>
    <row r="7" spans="2:18" x14ac:dyDescent="0.35">
      <c r="B7" s="2">
        <v>3</v>
      </c>
      <c r="C7" s="44">
        <v>2212.1</v>
      </c>
      <c r="D7" s="18">
        <v>2393.2399999999998</v>
      </c>
      <c r="E7" s="4">
        <f t="shared" si="0"/>
        <v>8.1885990687581886E-2</v>
      </c>
      <c r="G7" s="45" t="s">
        <v>20</v>
      </c>
      <c r="H7" s="47">
        <f>PI()</f>
        <v>3.1415926535897931</v>
      </c>
      <c r="J7" s="49">
        <v>3</v>
      </c>
      <c r="K7" s="48">
        <f t="shared" si="1"/>
        <v>17.0614935343586</v>
      </c>
      <c r="L7" s="48">
        <f t="shared" si="1"/>
        <v>18.45859083502933</v>
      </c>
      <c r="M7" s="50">
        <f t="shared" si="2"/>
        <v>8.1885990687582053E-2</v>
      </c>
      <c r="P7">
        <v>18.45859083502933</v>
      </c>
      <c r="Q7">
        <v>18.626961344434445</v>
      </c>
      <c r="R7" s="55">
        <f t="shared" si="3"/>
        <v>-9.1215256305261366E-3</v>
      </c>
    </row>
    <row r="8" spans="2:18" x14ac:dyDescent="0.35">
      <c r="B8" s="2">
        <v>4</v>
      </c>
      <c r="C8" s="44">
        <v>2498.4</v>
      </c>
      <c r="D8" s="18">
        <v>2609.0100000000002</v>
      </c>
      <c r="E8" s="4">
        <f t="shared" si="0"/>
        <v>4.4272334293948175E-2</v>
      </c>
      <c r="G8" s="45" t="s">
        <v>26</v>
      </c>
      <c r="H8" s="46">
        <v>0.1</v>
      </c>
      <c r="J8" s="49">
        <v>4</v>
      </c>
      <c r="K8" s="48">
        <f t="shared" si="1"/>
        <v>19.269669294444885</v>
      </c>
      <c r="L8" s="48">
        <f t="shared" si="1"/>
        <v>20.122782535182377</v>
      </c>
      <c r="M8" s="50">
        <f t="shared" si="2"/>
        <v>4.4272334293948189E-2</v>
      </c>
      <c r="P8">
        <v>20.122782535182377</v>
      </c>
      <c r="Q8">
        <v>20.388025861725751</v>
      </c>
      <c r="R8" s="55">
        <f t="shared" si="3"/>
        <v>-1.3181244993311737E-2</v>
      </c>
    </row>
    <row r="9" spans="2:18" x14ac:dyDescent="0.35">
      <c r="B9" s="2">
        <v>5</v>
      </c>
      <c r="C9" s="44">
        <v>4109</v>
      </c>
      <c r="D9" s="18">
        <v>4414.57</v>
      </c>
      <c r="E9" s="4">
        <f t="shared" si="0"/>
        <v>7.4366025797030832E-2</v>
      </c>
      <c r="J9" s="49">
        <v>5</v>
      </c>
      <c r="K9" s="48">
        <f t="shared" si="1"/>
        <v>31.691911275565978</v>
      </c>
      <c r="L9" s="48">
        <f t="shared" si="1"/>
        <v>34.048712767041934</v>
      </c>
      <c r="M9" s="50">
        <f t="shared" si="2"/>
        <v>7.4366025797030957E-2</v>
      </c>
      <c r="P9">
        <v>34.048712767041934</v>
      </c>
      <c r="Q9">
        <v>34.767931731862205</v>
      </c>
      <c r="R9" s="55">
        <f t="shared" si="3"/>
        <v>-2.112323510557064E-2</v>
      </c>
    </row>
    <row r="10" spans="2:18" x14ac:dyDescent="0.35">
      <c r="B10" s="2">
        <v>6</v>
      </c>
      <c r="C10" s="44">
        <v>5450.4</v>
      </c>
      <c r="D10" s="18">
        <v>6111.24</v>
      </c>
      <c r="E10" s="4">
        <f t="shared" si="0"/>
        <v>0.12124614707177458</v>
      </c>
      <c r="J10" s="49">
        <v>6</v>
      </c>
      <c r="K10" s="48">
        <f t="shared" si="1"/>
        <v>42.037866443500789</v>
      </c>
      <c r="L10" s="48">
        <f t="shared" si="1"/>
        <v>47.134795780893114</v>
      </c>
      <c r="M10" s="50">
        <f t="shared" si="2"/>
        <v>0.12124614707177483</v>
      </c>
      <c r="P10">
        <v>47.134795780893114</v>
      </c>
      <c r="Q10">
        <v>47.774649993456016</v>
      </c>
      <c r="R10" s="55">
        <f t="shared" si="3"/>
        <v>-1.3574986418468325E-2</v>
      </c>
    </row>
    <row r="11" spans="2:18" x14ac:dyDescent="0.35">
      <c r="B11" s="2">
        <v>7</v>
      </c>
      <c r="C11" s="44">
        <v>6959.4</v>
      </c>
      <c r="D11" s="18">
        <v>8132.09</v>
      </c>
      <c r="E11" s="4">
        <f t="shared" si="0"/>
        <v>0.168504468776044</v>
      </c>
      <c r="J11" s="49">
        <v>7</v>
      </c>
      <c r="K11" s="48">
        <f t="shared" si="1"/>
        <v>53.676487547134059</v>
      </c>
      <c r="L11" s="48">
        <f t="shared" si="1"/>
        <v>62.721215567027826</v>
      </c>
      <c r="M11" s="50">
        <f t="shared" si="2"/>
        <v>0.16850446877604403</v>
      </c>
      <c r="P11">
        <v>62.721215567027826</v>
      </c>
      <c r="Q11">
        <v>63.800082578277788</v>
      </c>
      <c r="R11" s="55">
        <f t="shared" si="3"/>
        <v>-1.7200990151363005E-2</v>
      </c>
    </row>
    <row r="12" spans="2:18" x14ac:dyDescent="0.35">
      <c r="B12" s="2">
        <v>8</v>
      </c>
      <c r="C12" s="44">
        <v>7506.2</v>
      </c>
      <c r="D12" s="18">
        <v>9259.8799999999992</v>
      </c>
      <c r="E12" s="4">
        <f t="shared" si="0"/>
        <v>0.23363086515147471</v>
      </c>
      <c r="F12" s="18"/>
      <c r="J12" s="49">
        <v>8</v>
      </c>
      <c r="K12" s="48">
        <f t="shared" si="1"/>
        <v>57.893848726369747</v>
      </c>
      <c r="L12" s="48">
        <f t="shared" si="1"/>
        <v>71.419638691260133</v>
      </c>
      <c r="M12" s="50">
        <f t="shared" si="2"/>
        <v>0.23363086515147505</v>
      </c>
      <c r="P12">
        <v>71.419638691260133</v>
      </c>
      <c r="Q12">
        <v>72.052628508341101</v>
      </c>
      <c r="R12" s="55">
        <f t="shared" si="3"/>
        <v>-8.8629658267709716E-3</v>
      </c>
    </row>
    <row r="13" spans="2:18" x14ac:dyDescent="0.35">
      <c r="B13" s="2">
        <v>9</v>
      </c>
      <c r="C13" s="44">
        <v>8468.2999999999993</v>
      </c>
      <c r="D13" s="18">
        <v>8629.59</v>
      </c>
      <c r="E13" s="4">
        <f t="shared" si="0"/>
        <v>1.9046325708820058E-2</v>
      </c>
      <c r="J13" s="49">
        <v>9</v>
      </c>
      <c r="K13" s="48">
        <f t="shared" si="1"/>
        <v>65.31433737037608</v>
      </c>
      <c r="L13" s="48">
        <f t="shared" si="1"/>
        <v>66.55833551338803</v>
      </c>
      <c r="M13" s="50">
        <f t="shared" si="2"/>
        <v>1.9046325708820207E-2</v>
      </c>
      <c r="P13">
        <v>66.55833551338803</v>
      </c>
      <c r="Q13">
        <v>67.341185110484631</v>
      </c>
      <c r="R13" s="55">
        <f t="shared" si="3"/>
        <v>-1.1761856588783417E-2</v>
      </c>
    </row>
    <row r="14" spans="2:18" ht="15" thickBot="1" x14ac:dyDescent="0.4">
      <c r="B14" s="2">
        <v>10</v>
      </c>
      <c r="C14" s="44">
        <v>9000</v>
      </c>
      <c r="D14" s="9">
        <v>9424.1200000000008</v>
      </c>
      <c r="E14" s="4">
        <f t="shared" si="0"/>
        <v>4.7124444444444531E-2</v>
      </c>
      <c r="J14" s="51">
        <v>10</v>
      </c>
      <c r="K14" s="52">
        <f t="shared" si="1"/>
        <v>69.415235210536338</v>
      </c>
      <c r="L14" s="52">
        <f t="shared" si="1"/>
        <v>72.686389605813304</v>
      </c>
      <c r="M14" s="53">
        <f t="shared" si="2"/>
        <v>4.7124444444444483E-2</v>
      </c>
    </row>
  </sheetData>
  <mergeCells count="6">
    <mergeCell ref="M3:M4"/>
    <mergeCell ref="B3:B4"/>
    <mergeCell ref="C3:D3"/>
    <mergeCell ref="E3:E4"/>
    <mergeCell ref="J3:J4"/>
    <mergeCell ref="K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23FD-697F-49C9-81B1-2B2E658F9827}">
  <dimension ref="C2:Y15"/>
  <sheetViews>
    <sheetView tabSelected="1" topLeftCell="B1" workbookViewId="0">
      <selection activeCell="M8" sqref="M8"/>
    </sheetView>
  </sheetViews>
  <sheetFormatPr defaultRowHeight="13" x14ac:dyDescent="0.3"/>
  <cols>
    <col min="1" max="2" width="8.7265625" style="76"/>
    <col min="3" max="3" width="6.08984375" style="76" customWidth="1"/>
    <col min="4" max="4" width="4" style="76" bestFit="1" customWidth="1"/>
    <col min="5" max="9" width="4.90625" style="76" bestFit="1" customWidth="1"/>
    <col min="10" max="11" width="5.81640625" style="76" bestFit="1" customWidth="1"/>
    <col min="12" max="12" width="7.6328125" style="76" bestFit="1" customWidth="1"/>
    <col min="13" max="18" width="8.7265625" style="76"/>
    <col min="19" max="19" width="10.36328125" style="76" bestFit="1" customWidth="1"/>
    <col min="20" max="16384" width="8.7265625" style="76"/>
  </cols>
  <sheetData>
    <row r="2" spans="3:25" ht="13.5" thickBot="1" x14ac:dyDescent="0.35"/>
    <row r="3" spans="3:25" x14ac:dyDescent="0.3">
      <c r="C3" s="113" t="s">
        <v>29</v>
      </c>
      <c r="D3" s="115" t="s">
        <v>27</v>
      </c>
      <c r="E3" s="115"/>
      <c r="F3" s="115"/>
      <c r="G3" s="115"/>
      <c r="H3" s="115"/>
      <c r="I3" s="115"/>
      <c r="J3" s="115"/>
      <c r="K3" s="116"/>
      <c r="L3" s="119"/>
      <c r="O3" s="77">
        <v>1.5</v>
      </c>
      <c r="P3" s="78"/>
      <c r="Q3" s="79" t="s">
        <v>28</v>
      </c>
      <c r="R3" s="78">
        <v>5</v>
      </c>
      <c r="S3" s="77">
        <v>4</v>
      </c>
      <c r="T3" s="78">
        <v>3</v>
      </c>
      <c r="U3" s="78">
        <v>2</v>
      </c>
      <c r="V3" s="78">
        <v>1.5</v>
      </c>
      <c r="W3" s="78">
        <v>1</v>
      </c>
      <c r="X3" s="78">
        <v>0.5</v>
      </c>
      <c r="Y3" s="80">
        <v>0.2</v>
      </c>
    </row>
    <row r="4" spans="3:25" x14ac:dyDescent="0.3">
      <c r="C4" s="114"/>
      <c r="D4" s="117"/>
      <c r="E4" s="117"/>
      <c r="F4" s="117"/>
      <c r="G4" s="117"/>
      <c r="H4" s="117"/>
      <c r="I4" s="117"/>
      <c r="J4" s="117"/>
      <c r="K4" s="118"/>
      <c r="L4" s="119"/>
      <c r="O4" s="81"/>
      <c r="Q4" s="82"/>
      <c r="S4" s="81"/>
      <c r="Y4" s="82"/>
    </row>
    <row r="5" spans="3:25" x14ac:dyDescent="0.3">
      <c r="C5" s="114"/>
      <c r="D5" s="71">
        <v>1</v>
      </c>
      <c r="E5" s="71">
        <v>2</v>
      </c>
      <c r="F5" s="71">
        <v>3</v>
      </c>
      <c r="G5" s="71">
        <v>4</v>
      </c>
      <c r="H5" s="71">
        <v>5</v>
      </c>
      <c r="I5" s="71">
        <v>6</v>
      </c>
      <c r="J5" s="71">
        <v>7</v>
      </c>
      <c r="K5" s="72">
        <v>8</v>
      </c>
      <c r="L5" s="119"/>
      <c r="N5" s="83"/>
      <c r="O5" s="81">
        <v>392.47</v>
      </c>
      <c r="P5" s="76">
        <v>3.0270199999999998</v>
      </c>
      <c r="Q5" s="82">
        <v>3.0270199999999998</v>
      </c>
      <c r="R5" s="76">
        <v>3.0819999999999999</v>
      </c>
      <c r="S5" s="84">
        <v>3.0703800000000001</v>
      </c>
      <c r="T5" s="76">
        <v>3.0559500000000002</v>
      </c>
      <c r="U5" s="76">
        <v>3.0383</v>
      </c>
      <c r="V5" s="76">
        <v>3.0270199999999998</v>
      </c>
      <c r="W5" s="76">
        <v>3.0057299999999998</v>
      </c>
      <c r="X5" s="76">
        <v>2.8737300000000001</v>
      </c>
      <c r="Y5" s="82">
        <v>1.8567199999999999</v>
      </c>
    </row>
    <row r="6" spans="3:25" x14ac:dyDescent="0.3">
      <c r="C6" s="73">
        <v>4</v>
      </c>
      <c r="D6" s="90">
        <v>3.0703800000000001</v>
      </c>
      <c r="E6" s="90">
        <v>19.20871</v>
      </c>
      <c r="F6" s="90">
        <v>23.44659</v>
      </c>
      <c r="G6" s="90">
        <v>28.20055</v>
      </c>
      <c r="H6" s="90">
        <v>54.555459999999997</v>
      </c>
      <c r="I6" s="90">
        <v>85.544910000000002</v>
      </c>
      <c r="J6" s="90">
        <v>104.46754</v>
      </c>
      <c r="K6" s="91">
        <v>126.09102</v>
      </c>
      <c r="L6" s="120"/>
      <c r="N6" s="83"/>
      <c r="O6" s="81">
        <v>1428.44</v>
      </c>
      <c r="P6" s="76">
        <v>11.017289999999999</v>
      </c>
      <c r="Q6" s="82">
        <v>11.017289999999999</v>
      </c>
      <c r="R6" s="76">
        <v>19.371310000000001</v>
      </c>
      <c r="S6" s="84">
        <v>19.20871</v>
      </c>
      <c r="T6" s="76">
        <v>18.88654</v>
      </c>
      <c r="U6" s="76">
        <v>14.36504</v>
      </c>
      <c r="V6" s="76">
        <v>11.017289999999999</v>
      </c>
      <c r="W6" s="76">
        <v>7.6760200000000003</v>
      </c>
      <c r="X6" s="76">
        <v>4.3102</v>
      </c>
      <c r="Y6" s="82">
        <v>2.67638</v>
      </c>
    </row>
    <row r="7" spans="3:25" x14ac:dyDescent="0.3">
      <c r="C7" s="73">
        <v>3</v>
      </c>
      <c r="D7" s="90">
        <v>3.0559500000000002</v>
      </c>
      <c r="E7" s="90">
        <v>18.88654</v>
      </c>
      <c r="F7" s="90">
        <v>21.4146</v>
      </c>
      <c r="G7" s="90">
        <v>22.909050000000001</v>
      </c>
      <c r="H7" s="90">
        <v>52.769309999999997</v>
      </c>
      <c r="I7" s="90">
        <v>65.034149999999997</v>
      </c>
      <c r="J7" s="90">
        <v>99.064499999999995</v>
      </c>
      <c r="K7" s="91">
        <v>112.77208</v>
      </c>
      <c r="L7" s="120"/>
      <c r="N7" s="83"/>
      <c r="O7" s="81">
        <v>2352.73</v>
      </c>
      <c r="P7" s="76">
        <v>18.146159999999998</v>
      </c>
      <c r="Q7" s="82">
        <v>18.146159999999998</v>
      </c>
      <c r="R7" s="76">
        <v>23.72438</v>
      </c>
      <c r="S7" s="84">
        <v>23.44659</v>
      </c>
      <c r="T7" s="76">
        <v>21.4146</v>
      </c>
      <c r="U7" s="76">
        <v>18.672989999999999</v>
      </c>
      <c r="V7" s="76">
        <v>18.146159999999998</v>
      </c>
      <c r="W7" s="76">
        <v>16.792490000000001</v>
      </c>
      <c r="X7" s="76">
        <v>8.8675300000000004</v>
      </c>
      <c r="Y7" s="82">
        <v>3.0039400000000001</v>
      </c>
    </row>
    <row r="8" spans="3:25" x14ac:dyDescent="0.3">
      <c r="C8" s="73">
        <v>2</v>
      </c>
      <c r="D8" s="90">
        <v>3.0383</v>
      </c>
      <c r="E8" s="90">
        <v>14.36504</v>
      </c>
      <c r="F8" s="90">
        <v>18.672989999999999</v>
      </c>
      <c r="G8" s="90">
        <v>21.612919999999999</v>
      </c>
      <c r="H8" s="90">
        <v>43.475110000000001</v>
      </c>
      <c r="I8" s="90">
        <v>50.56729</v>
      </c>
      <c r="J8" s="90">
        <v>76.587289999999996</v>
      </c>
      <c r="K8" s="91">
        <v>89.066249999999997</v>
      </c>
      <c r="L8" s="120"/>
      <c r="N8" s="83"/>
      <c r="O8" s="81">
        <v>2615.15</v>
      </c>
      <c r="P8" s="76">
        <v>20.170110000000001</v>
      </c>
      <c r="Q8" s="82">
        <v>20.170110000000001</v>
      </c>
      <c r="R8" s="76">
        <v>35.104210000000002</v>
      </c>
      <c r="S8" s="84">
        <v>28.20055</v>
      </c>
      <c r="T8" s="76">
        <v>22.909050000000001</v>
      </c>
      <c r="U8" s="76">
        <v>21.612919999999999</v>
      </c>
      <c r="V8" s="76">
        <v>20.170110000000001</v>
      </c>
      <c r="W8" s="76">
        <v>17.344349999999999</v>
      </c>
      <c r="X8" s="76">
        <v>11.404590000000001</v>
      </c>
      <c r="Y8" s="82">
        <v>3.7746300000000002</v>
      </c>
    </row>
    <row r="9" spans="3:25" x14ac:dyDescent="0.3">
      <c r="C9" s="73">
        <v>1.5</v>
      </c>
      <c r="D9" s="90">
        <v>3.0270199999999998</v>
      </c>
      <c r="E9" s="90">
        <v>11.017289999999999</v>
      </c>
      <c r="F9" s="90">
        <v>18.146159999999998</v>
      </c>
      <c r="G9" s="90">
        <v>20.170110000000001</v>
      </c>
      <c r="H9" s="90">
        <v>33.720950000000002</v>
      </c>
      <c r="I9" s="90">
        <v>46.13655</v>
      </c>
      <c r="J9" s="90">
        <v>61.560040000000001</v>
      </c>
      <c r="K9" s="91">
        <v>65.406350000000003</v>
      </c>
      <c r="L9" s="120"/>
      <c r="N9" s="83"/>
      <c r="O9" s="81">
        <v>4372.07</v>
      </c>
      <c r="P9" s="76">
        <v>33.720950000000002</v>
      </c>
      <c r="Q9" s="82">
        <v>33.720950000000002</v>
      </c>
      <c r="R9" s="76">
        <v>55.576749999999997</v>
      </c>
      <c r="S9" s="84">
        <v>54.555459999999997</v>
      </c>
      <c r="T9" s="76">
        <v>52.769309999999997</v>
      </c>
      <c r="U9" s="76">
        <v>43.475110000000001</v>
      </c>
      <c r="V9" s="76">
        <v>33.720950000000002</v>
      </c>
      <c r="W9" s="76">
        <v>24.026620000000001</v>
      </c>
      <c r="X9" s="76">
        <v>11.809229999999999</v>
      </c>
      <c r="Y9" s="82">
        <v>5.2217500000000001</v>
      </c>
    </row>
    <row r="10" spans="3:25" x14ac:dyDescent="0.3">
      <c r="C10" s="73">
        <v>1</v>
      </c>
      <c r="D10" s="92">
        <v>3.0057299999999998</v>
      </c>
      <c r="E10" s="92">
        <v>7.6760200000000003</v>
      </c>
      <c r="F10" s="92">
        <v>16.792490000000001</v>
      </c>
      <c r="G10" s="92">
        <v>17.344349999999999</v>
      </c>
      <c r="H10" s="92">
        <v>24.026620000000001</v>
      </c>
      <c r="I10" s="92">
        <v>29.974640000000001</v>
      </c>
      <c r="J10" s="92">
        <v>36.915619999999997</v>
      </c>
      <c r="K10" s="93">
        <v>44.589880000000001</v>
      </c>
      <c r="L10" s="120"/>
      <c r="N10" s="83"/>
      <c r="O10" s="81">
        <v>5981.81</v>
      </c>
      <c r="P10" s="76">
        <v>46.13655</v>
      </c>
      <c r="Q10" s="82">
        <v>46.13655</v>
      </c>
      <c r="R10" s="76">
        <v>106.20296</v>
      </c>
      <c r="S10" s="84">
        <v>85.544910000000002</v>
      </c>
      <c r="T10" s="76">
        <v>65.034149999999997</v>
      </c>
      <c r="U10" s="76">
        <v>50.56729</v>
      </c>
      <c r="V10" s="76">
        <v>46.13655</v>
      </c>
      <c r="W10" s="76">
        <v>29.974640000000001</v>
      </c>
      <c r="X10" s="76">
        <v>14.663460000000001</v>
      </c>
      <c r="Y10" s="82">
        <v>5.3856200000000003</v>
      </c>
    </row>
    <row r="11" spans="3:25" x14ac:dyDescent="0.3">
      <c r="C11" s="73">
        <v>0.5</v>
      </c>
      <c r="D11" s="92">
        <v>2.8737300000000001</v>
      </c>
      <c r="E11" s="92">
        <v>4.3102</v>
      </c>
      <c r="F11" s="92">
        <v>8.8675300000000004</v>
      </c>
      <c r="G11" s="92">
        <v>11.404590000000001</v>
      </c>
      <c r="H11" s="92">
        <v>11.809229999999999</v>
      </c>
      <c r="I11" s="92">
        <v>14.663460000000001</v>
      </c>
      <c r="J11" s="92">
        <v>16.86842</v>
      </c>
      <c r="K11" s="93">
        <v>20.38447</v>
      </c>
      <c r="L11" s="119"/>
      <c r="N11" s="83"/>
      <c r="O11" s="81">
        <v>7981.54</v>
      </c>
      <c r="P11" s="76">
        <v>61.560040000000001</v>
      </c>
      <c r="Q11" s="82">
        <v>61.560040000000001</v>
      </c>
      <c r="R11" s="76">
        <v>107.36136999999999</v>
      </c>
      <c r="S11" s="84">
        <v>104.46754</v>
      </c>
      <c r="T11" s="76">
        <v>99.064499999999995</v>
      </c>
      <c r="U11" s="76">
        <v>76.587289999999996</v>
      </c>
      <c r="V11" s="76">
        <v>61.560040000000001</v>
      </c>
      <c r="W11" s="76">
        <v>36.915619999999997</v>
      </c>
      <c r="X11" s="76">
        <v>16.86842</v>
      </c>
      <c r="Y11" s="82">
        <v>6.3679699999999997</v>
      </c>
    </row>
    <row r="12" spans="3:25" ht="13.5" thickBot="1" x14ac:dyDescent="0.35">
      <c r="C12" s="74">
        <v>0.2</v>
      </c>
      <c r="D12" s="94">
        <v>1.8567199999999999</v>
      </c>
      <c r="E12" s="94">
        <v>2.67638</v>
      </c>
      <c r="F12" s="94">
        <v>3.0039400000000001</v>
      </c>
      <c r="G12" s="94">
        <v>3.7746300000000002</v>
      </c>
      <c r="H12" s="94">
        <v>5.2217500000000001</v>
      </c>
      <c r="I12" s="94">
        <v>5.3856200000000003</v>
      </c>
      <c r="J12" s="94">
        <v>6.3679699999999997</v>
      </c>
      <c r="K12" s="95">
        <v>6.5797499999999998</v>
      </c>
      <c r="L12" s="119"/>
      <c r="N12" s="83"/>
      <c r="O12" s="81">
        <v>8480.23</v>
      </c>
      <c r="P12" s="76">
        <v>65.406350000000003</v>
      </c>
      <c r="Q12" s="82">
        <v>65.406350000000003</v>
      </c>
      <c r="R12" s="76">
        <v>133.81022999999999</v>
      </c>
      <c r="S12" s="84">
        <v>126.09102</v>
      </c>
      <c r="T12" s="76">
        <v>112.77208</v>
      </c>
      <c r="U12" s="76">
        <v>89.066249999999997</v>
      </c>
      <c r="V12" s="76">
        <v>65.406350000000003</v>
      </c>
      <c r="W12" s="76">
        <v>44.589880000000001</v>
      </c>
      <c r="X12" s="76">
        <v>20.38447</v>
      </c>
      <c r="Y12" s="82">
        <v>6.5797499999999998</v>
      </c>
    </row>
    <row r="13" spans="3:25" x14ac:dyDescent="0.3">
      <c r="N13" s="83"/>
      <c r="O13" s="81">
        <v>8669.4599999999991</v>
      </c>
      <c r="P13" s="76">
        <v>66.865840000000006</v>
      </c>
      <c r="Q13" s="82">
        <v>66.865840000000006</v>
      </c>
      <c r="R13" s="76">
        <v>181.05995999999999</v>
      </c>
      <c r="S13" s="84">
        <v>146.29562999999999</v>
      </c>
      <c r="T13" s="76">
        <v>113.26347</v>
      </c>
      <c r="U13" s="76">
        <v>89.956199999999995</v>
      </c>
      <c r="V13" s="76">
        <v>66.865840000000006</v>
      </c>
      <c r="W13" s="76">
        <v>44.644880000000001</v>
      </c>
      <c r="X13" s="76">
        <v>22.237839999999998</v>
      </c>
      <c r="Y13" s="82">
        <v>6.7679499999999999</v>
      </c>
    </row>
    <row r="14" spans="3:25" ht="13.5" thickBot="1" x14ac:dyDescent="0.35">
      <c r="N14" s="85"/>
      <c r="O14" s="86">
        <v>9540.49</v>
      </c>
      <c r="P14" s="87">
        <v>73.583939999999998</v>
      </c>
      <c r="Q14" s="88">
        <v>73.583939999999998</v>
      </c>
      <c r="R14" s="76">
        <v>222.31653</v>
      </c>
      <c r="S14" s="89">
        <v>177.89497</v>
      </c>
      <c r="T14" s="87">
        <v>133.48213000000001</v>
      </c>
      <c r="U14" s="87">
        <v>90.778289999999998</v>
      </c>
      <c r="V14" s="87">
        <v>73.583939999999998</v>
      </c>
      <c r="W14" s="87">
        <v>50.238599999999998</v>
      </c>
      <c r="X14" s="87">
        <v>23.149529999999999</v>
      </c>
      <c r="Y14" s="88">
        <v>8.6624400000000001</v>
      </c>
    </row>
    <row r="15" spans="3:25" x14ac:dyDescent="0.3">
      <c r="N15" s="83"/>
      <c r="S15" s="75"/>
    </row>
  </sheetData>
  <mergeCells count="2">
    <mergeCell ref="C3:C5"/>
    <mergeCell ref="D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my</vt:lpstr>
      <vt:lpstr>n-values</vt:lpstr>
      <vt:lpstr>data</vt:lpstr>
      <vt:lpstr>energy</vt:lpstr>
      <vt:lpstr>non dim</vt:lpstr>
      <vt:lpstr>nd2</vt:lpstr>
      <vt:lpstr>ratio vs 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BASNET</dc:creator>
  <cp:lastModifiedBy>SAROJ BASNET</cp:lastModifiedBy>
  <dcterms:created xsi:type="dcterms:W3CDTF">2025-09-22T03:31:49Z</dcterms:created>
  <dcterms:modified xsi:type="dcterms:W3CDTF">2025-11-06T14:22:12Z</dcterms:modified>
</cp:coreProperties>
</file>