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\Desktop\Vibration\Realistic_FSDT\"/>
    </mc:Choice>
  </mc:AlternateContent>
  <xr:revisionPtr revIDLastSave="0" documentId="13_ncr:1_{1799ACD7-9711-4A52-927B-D715E3EBB4BB}" xr6:coauthVersionLast="47" xr6:coauthVersionMax="47" xr10:uidLastSave="{00000000-0000-0000-0000-000000000000}"/>
  <bookViews>
    <workbookView xWindow="-110" yWindow="-110" windowWidth="19420" windowHeight="10560" tabRatio="744" activeTab="7" xr2:uid="{12270C48-6638-472E-9891-EBB10DEB5EB2}"/>
  </bookViews>
  <sheets>
    <sheet name="1 Rect Plate" sheetId="6" r:id="rId1"/>
    <sheet name="2 Flat stag" sheetId="2" r:id="rId2"/>
    <sheet name="3 Flat twist" sheetId="3" r:id="rId3"/>
    <sheet name="4 Naca th" sheetId="5" r:id="rId4"/>
    <sheet name="4.2 naca Qat offset" sheetId="7" r:id="rId5"/>
    <sheet name="4.4 naca taper" sheetId="8" r:id="rId6"/>
    <sheet name="5 Ec Camber" sheetId="4" r:id="rId7"/>
    <sheet name="6 Realistic" sheetId="1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N17" i="2" s="1"/>
  <c r="N16" i="6"/>
  <c r="N13" i="6"/>
  <c r="J15" i="6"/>
  <c r="I13" i="6"/>
  <c r="F14" i="6"/>
  <c r="G14" i="6" s="1"/>
  <c r="E14" i="6"/>
  <c r="E15" i="6"/>
  <c r="C16" i="6"/>
  <c r="M16" i="6" s="1"/>
  <c r="X10" i="1"/>
  <c r="X9" i="1"/>
  <c r="X8" i="1"/>
  <c r="X7" i="1"/>
  <c r="X6" i="1"/>
  <c r="X5" i="1"/>
  <c r="X4" i="1"/>
  <c r="M16" i="1"/>
  <c r="M17" i="1"/>
  <c r="M18" i="1"/>
  <c r="M19" i="1"/>
  <c r="M20" i="1"/>
  <c r="M21" i="1"/>
  <c r="M15" i="1"/>
  <c r="O12" i="8"/>
  <c r="O11" i="8"/>
  <c r="O10" i="8"/>
  <c r="O9" i="8"/>
  <c r="O8" i="8"/>
  <c r="O7" i="8"/>
  <c r="O6" i="8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D28" i="1"/>
  <c r="E28" i="1"/>
  <c r="F28" i="1"/>
  <c r="G28" i="1"/>
  <c r="H28" i="1"/>
  <c r="I28" i="1"/>
  <c r="J28" i="1"/>
  <c r="K28" i="1"/>
  <c r="E22" i="1"/>
  <c r="F22" i="1"/>
  <c r="G22" i="1"/>
  <c r="H22" i="1"/>
  <c r="I22" i="1"/>
  <c r="J22" i="1"/>
  <c r="K22" i="1"/>
  <c r="D22" i="1"/>
  <c r="K12" i="8"/>
  <c r="G12" i="8"/>
  <c r="K11" i="8"/>
  <c r="G11" i="8"/>
  <c r="K10" i="8"/>
  <c r="G10" i="8"/>
  <c r="K9" i="8"/>
  <c r="G9" i="8"/>
  <c r="K8" i="8"/>
  <c r="G8" i="8"/>
  <c r="K7" i="8"/>
  <c r="G7" i="8"/>
  <c r="K6" i="8"/>
  <c r="G6" i="8"/>
  <c r="O12" i="7"/>
  <c r="O11" i="7"/>
  <c r="O10" i="7"/>
  <c r="O9" i="7"/>
  <c r="O8" i="7"/>
  <c r="O7" i="7"/>
  <c r="O6" i="7"/>
  <c r="K12" i="7"/>
  <c r="G12" i="7"/>
  <c r="K11" i="7"/>
  <c r="G11" i="7"/>
  <c r="K10" i="7"/>
  <c r="G10" i="7"/>
  <c r="K9" i="7"/>
  <c r="G9" i="7"/>
  <c r="K8" i="7"/>
  <c r="G8" i="7"/>
  <c r="K7" i="7"/>
  <c r="G7" i="7"/>
  <c r="K6" i="7"/>
  <c r="G6" i="7"/>
  <c r="O11" i="6"/>
  <c r="O10" i="6"/>
  <c r="O9" i="6"/>
  <c r="O8" i="6"/>
  <c r="O7" i="6"/>
  <c r="O6" i="6"/>
  <c r="O5" i="6"/>
  <c r="K11" i="6"/>
  <c r="G11" i="6"/>
  <c r="K10" i="6"/>
  <c r="G10" i="6"/>
  <c r="K9" i="6"/>
  <c r="G9" i="6"/>
  <c r="K8" i="6"/>
  <c r="G8" i="6"/>
  <c r="K7" i="6"/>
  <c r="G7" i="6"/>
  <c r="K6" i="6"/>
  <c r="G6" i="6"/>
  <c r="K5" i="6"/>
  <c r="G5" i="6"/>
  <c r="O12" i="5"/>
  <c r="O11" i="5"/>
  <c r="O10" i="5"/>
  <c r="O9" i="5"/>
  <c r="O8" i="5"/>
  <c r="O7" i="5"/>
  <c r="O6" i="5"/>
  <c r="K12" i="5"/>
  <c r="G12" i="5"/>
  <c r="K11" i="5"/>
  <c r="G11" i="5"/>
  <c r="K10" i="5"/>
  <c r="G10" i="5"/>
  <c r="K9" i="5"/>
  <c r="G9" i="5"/>
  <c r="K8" i="5"/>
  <c r="G8" i="5"/>
  <c r="K7" i="5"/>
  <c r="G7" i="5"/>
  <c r="K6" i="5"/>
  <c r="G6" i="5"/>
  <c r="O16" i="6" l="1"/>
  <c r="J13" i="6"/>
  <c r="K13" i="6" s="1"/>
  <c r="N14" i="6"/>
  <c r="E13" i="6"/>
  <c r="F17" i="6"/>
  <c r="I14" i="6"/>
  <c r="I17" i="6"/>
  <c r="M15" i="6"/>
  <c r="M14" i="6"/>
  <c r="N17" i="6"/>
  <c r="O17" i="6" s="1"/>
  <c r="E17" i="6"/>
  <c r="F16" i="6"/>
  <c r="J14" i="6"/>
  <c r="J17" i="6"/>
  <c r="K17" i="6" s="1"/>
  <c r="N15" i="6"/>
  <c r="O15" i="6" s="1"/>
  <c r="I16" i="6"/>
  <c r="M17" i="6"/>
  <c r="F13" i="6"/>
  <c r="J16" i="6"/>
  <c r="E16" i="6"/>
  <c r="F15" i="6"/>
  <c r="G15" i="6" s="1"/>
  <c r="I15" i="6"/>
  <c r="K15" i="6" s="1"/>
  <c r="M13" i="6"/>
  <c r="O13" i="6" s="1"/>
  <c r="N15" i="2"/>
  <c r="F13" i="2"/>
  <c r="M16" i="2"/>
  <c r="I17" i="2"/>
  <c r="E13" i="2"/>
  <c r="E17" i="2"/>
  <c r="J14" i="2"/>
  <c r="F15" i="2"/>
  <c r="G15" i="2" s="1"/>
  <c r="I15" i="2"/>
  <c r="J15" i="2"/>
  <c r="K15" i="2" s="1"/>
  <c r="N13" i="2"/>
  <c r="O13" i="2" s="1"/>
  <c r="N16" i="2"/>
  <c r="O16" i="2" s="1"/>
  <c r="I14" i="2"/>
  <c r="M15" i="2"/>
  <c r="E15" i="2"/>
  <c r="J17" i="2"/>
  <c r="K17" i="2" s="1"/>
  <c r="F17" i="2"/>
  <c r="G17" i="2" s="1"/>
  <c r="M13" i="2"/>
  <c r="E14" i="2"/>
  <c r="E16" i="2"/>
  <c r="I13" i="2"/>
  <c r="I16" i="2"/>
  <c r="M14" i="2"/>
  <c r="M17" i="2"/>
  <c r="O17" i="2" s="1"/>
  <c r="F14" i="2"/>
  <c r="G14" i="2" s="1"/>
  <c r="F16" i="2"/>
  <c r="G16" i="2" s="1"/>
  <c r="J13" i="2"/>
  <c r="K13" i="2" s="1"/>
  <c r="J16" i="2"/>
  <c r="K16" i="2" s="1"/>
  <c r="N14" i="2"/>
  <c r="O14" i="2" s="1"/>
  <c r="P5" i="1"/>
  <c r="P6" i="1"/>
  <c r="P7" i="1"/>
  <c r="P8" i="1"/>
  <c r="P9" i="1"/>
  <c r="P10" i="1"/>
  <c r="P4" i="1"/>
  <c r="K6" i="4"/>
  <c r="K7" i="4"/>
  <c r="K8" i="4"/>
  <c r="K9" i="4"/>
  <c r="K10" i="4"/>
  <c r="K11" i="4"/>
  <c r="K12" i="4"/>
  <c r="O12" i="4"/>
  <c r="O11" i="4"/>
  <c r="O10" i="4"/>
  <c r="O9" i="4"/>
  <c r="O8" i="4"/>
  <c r="O7" i="4"/>
  <c r="O6" i="4"/>
  <c r="G12" i="4"/>
  <c r="G11" i="4"/>
  <c r="G10" i="4"/>
  <c r="G9" i="4"/>
  <c r="G8" i="4"/>
  <c r="G7" i="4"/>
  <c r="G6" i="4"/>
  <c r="T10" i="1"/>
  <c r="T9" i="1"/>
  <c r="T8" i="1"/>
  <c r="T7" i="1"/>
  <c r="T6" i="1"/>
  <c r="T5" i="1"/>
  <c r="T4" i="1"/>
  <c r="G10" i="1"/>
  <c r="G9" i="1"/>
  <c r="G8" i="1"/>
  <c r="G7" i="1"/>
  <c r="G6" i="1"/>
  <c r="G5" i="1"/>
  <c r="G4" i="1"/>
  <c r="O12" i="3"/>
  <c r="O11" i="3"/>
  <c r="O10" i="3"/>
  <c r="O9" i="3"/>
  <c r="O8" i="3"/>
  <c r="O7" i="3"/>
  <c r="O6" i="3"/>
  <c r="K12" i="3"/>
  <c r="K11" i="3"/>
  <c r="K10" i="3"/>
  <c r="K9" i="3"/>
  <c r="K8" i="3"/>
  <c r="K7" i="3"/>
  <c r="K6" i="3"/>
  <c r="O6" i="2"/>
  <c r="O7" i="2"/>
  <c r="O8" i="2"/>
  <c r="O9" i="2"/>
  <c r="O10" i="2"/>
  <c r="O11" i="2"/>
  <c r="O5" i="2"/>
  <c r="K5" i="2"/>
  <c r="K11" i="2"/>
  <c r="K10" i="2"/>
  <c r="K9" i="2"/>
  <c r="K8" i="2"/>
  <c r="K7" i="2"/>
  <c r="K6" i="2"/>
  <c r="G5" i="2"/>
  <c r="G11" i="2"/>
  <c r="G10" i="2"/>
  <c r="G9" i="2"/>
  <c r="G8" i="2"/>
  <c r="G7" i="2"/>
  <c r="G6" i="2"/>
  <c r="K10" i="1"/>
  <c r="K9" i="1"/>
  <c r="K8" i="1"/>
  <c r="K7" i="1"/>
  <c r="K6" i="1"/>
  <c r="K5" i="1"/>
  <c r="K4" i="1"/>
  <c r="G11" i="3"/>
  <c r="G12" i="3"/>
  <c r="G9" i="3"/>
  <c r="K16" i="6" l="1"/>
  <c r="K14" i="6"/>
  <c r="O14" i="6"/>
  <c r="G13" i="6"/>
  <c r="G16" i="6"/>
  <c r="G17" i="6"/>
  <c r="G13" i="2"/>
  <c r="K14" i="2"/>
  <c r="O15" i="2"/>
  <c r="L22" i="1"/>
  <c r="L28" i="1"/>
  <c r="L26" i="1"/>
  <c r="L24" i="1"/>
  <c r="L27" i="1"/>
  <c r="G10" i="3"/>
  <c r="G7" i="3"/>
  <c r="G8" i="3"/>
  <c r="G6" i="3"/>
  <c r="L23" i="1" l="1"/>
  <c r="L25" i="1"/>
</calcChain>
</file>

<file path=xl/sharedStrings.xml><?xml version="1.0" encoding="utf-8"?>
<sst xmlns="http://schemas.openxmlformats.org/spreadsheetml/2006/main" count="255" uniqueCount="53">
  <si>
    <t>ANSYS</t>
  </si>
  <si>
    <t>RR</t>
  </si>
  <si>
    <t>Error</t>
  </si>
  <si>
    <t>Modes</t>
  </si>
  <si>
    <t>RPM = 4k</t>
  </si>
  <si>
    <t>stag = 20</t>
  </si>
  <si>
    <t>Hz</t>
  </si>
  <si>
    <t>RPM = 0.01</t>
  </si>
  <si>
    <t>Stagger =20</t>
  </si>
  <si>
    <t>RPM=0.01</t>
  </si>
  <si>
    <t>ANSYS
(Hz)</t>
  </si>
  <si>
    <t>R_hub = 0</t>
  </si>
  <si>
    <t>pt = 15</t>
  </si>
  <si>
    <t>pt =0</t>
  </si>
  <si>
    <t>R_hub=0.2</t>
  </si>
  <si>
    <t>Stag =20</t>
  </si>
  <si>
    <t>Stagg =20</t>
  </si>
  <si>
    <t>R_hub=0</t>
  </si>
  <si>
    <t>RPM=4k</t>
  </si>
  <si>
    <t>R hub =0</t>
  </si>
  <si>
    <t>R hub=0.2</t>
  </si>
  <si>
    <t>N values</t>
  </si>
  <si>
    <t>RPM = 8k</t>
  </si>
  <si>
    <t>naca_code= "0412"</t>
  </si>
  <si>
    <t>Naca thickness</t>
  </si>
  <si>
    <t>no Taper</t>
  </si>
  <si>
    <t>No camber</t>
  </si>
  <si>
    <t>offset 0.5</t>
  </si>
  <si>
    <t>Rect Plate</t>
  </si>
  <si>
    <t>offset 0.0</t>
  </si>
  <si>
    <t>Stag =0</t>
  </si>
  <si>
    <t>offset 0.25</t>
  </si>
  <si>
    <t xml:space="preserve">C_chord=0.1 </t>
  </si>
  <si>
    <t>C_thickness=0.5</t>
  </si>
  <si>
    <t>Tapered</t>
  </si>
  <si>
    <t>Tapered:</t>
  </si>
  <si>
    <t>Cambered, 6412</t>
  </si>
  <si>
    <t>Naca 0412</t>
  </si>
  <si>
    <t>Constant thickness</t>
  </si>
  <si>
    <t>3mm</t>
  </si>
  <si>
    <t>pre twist =0</t>
  </si>
  <si>
    <t>stagger =0</t>
  </si>
  <si>
    <t>pre twist =15</t>
  </si>
  <si>
    <t>N=6</t>
  </si>
  <si>
    <t>Diffrence</t>
  </si>
  <si>
    <t>Last</t>
  </si>
  <si>
    <t>RPM=30k</t>
  </si>
  <si>
    <t>L</t>
  </si>
  <si>
    <t>b</t>
  </si>
  <si>
    <t>h</t>
  </si>
  <si>
    <t>mu</t>
  </si>
  <si>
    <t>rho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</si>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</sst>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left" vertical="center"/>
    </xf>
    <xf numFmtId="10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 vertical="center"/>
    </xf>
    <xf numFmtId="10" fontId="0" fillId="0" borderId="1" xfId="1" applyNumberFormat="1" applyFont="1" applyBorder="1" applyAlignment="1">
      <alignment horizontal="left" vertical="center"/>
    </xf>
    <xf numFmtId="2" fontId="0" fillId="0" borderId="0" xfId="1" applyNumberFormat="1" applyFont="1" applyBorder="1" applyAlignment="1">
      <alignment horizontal="left" vertical="center"/>
    </xf>
    <xf numFmtId="10" fontId="0" fillId="0" borderId="0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0" xfId="1" applyNumberFormat="1" applyFont="1" applyFill="1" applyBorder="1" applyAlignment="1">
      <alignment horizontal="left" vertical="center"/>
    </xf>
    <xf numFmtId="10" fontId="0" fillId="0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1" xfId="0" applyNumberFormat="1" applyBorder="1" applyAlignment="1">
      <alignment horizontal="left" vertical="center"/>
    </xf>
    <xf numFmtId="0" fontId="3" fillId="0" borderId="0" xfId="0" applyFont="1"/>
    <xf numFmtId="0" fontId="0" fillId="0" borderId="1" xfId="0" applyBorder="1" applyAlignment="1">
      <alignment horizontal="left" vertical="center" wrapText="1"/>
    </xf>
    <xf numFmtId="10" fontId="0" fillId="0" borderId="0" xfId="1" applyNumberFormat="1" applyFont="1" applyAlignment="1">
      <alignment horizontal="left" vertical="center"/>
    </xf>
    <xf numFmtId="2" fontId="0" fillId="0" borderId="0" xfId="1" applyNumberFormat="1" applyFont="1" applyFill="1" applyBorder="1" applyAlignment="1">
      <alignment horizontal="left" vertical="center"/>
    </xf>
    <xf numFmtId="10" fontId="0" fillId="0" borderId="0" xfId="1" applyNumberFormat="1" applyFont="1"/>
    <xf numFmtId="2" fontId="0" fillId="0" borderId="1" xfId="1" applyNumberFormat="1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'6 Realistic'!$C$14:$L$14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ANSYS</c:v>
                </c:pt>
              </c:strCache>
            </c:strRef>
          </c:xVal>
          <c:yVal>
            <c:numRef>
              <c:f>'6 Realistic'!$C$15:$L$15</c:f>
              <c:numCache>
                <c:formatCode>General</c:formatCode>
                <c:ptCount val="10"/>
                <c:pt idx="0" formatCode="0.00">
                  <c:v>554.91999999999996</c:v>
                </c:pt>
                <c:pt idx="1">
                  <c:v>274.89999999999998</c:v>
                </c:pt>
                <c:pt idx="2">
                  <c:v>256.27999999999997</c:v>
                </c:pt>
                <c:pt idx="3">
                  <c:v>254.33</c:v>
                </c:pt>
                <c:pt idx="4">
                  <c:v>253.51</c:v>
                </c:pt>
                <c:pt idx="5">
                  <c:v>253.17</c:v>
                </c:pt>
                <c:pt idx="6">
                  <c:v>253.07</c:v>
                </c:pt>
                <c:pt idx="7">
                  <c:v>252.92</c:v>
                </c:pt>
                <c:pt idx="8">
                  <c:v>252.81</c:v>
                </c:pt>
                <c:pt idx="9">
                  <c:v>254.07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7-4BB0-9384-0AF706BADF0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'6 Realistic'!$C$14:$L$14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ANSYS</c:v>
                </c:pt>
              </c:strCache>
            </c:strRef>
          </c:xVal>
          <c:yVal>
            <c:numRef>
              <c:f>'6 Realistic'!$C$16:$L$16</c:f>
              <c:numCache>
                <c:formatCode>0.00</c:formatCode>
                <c:ptCount val="10"/>
                <c:pt idx="0">
                  <c:v>1671.84</c:v>
                </c:pt>
                <c:pt idx="1">
                  <c:v>790.15</c:v>
                </c:pt>
                <c:pt idx="2" formatCode="General">
                  <c:v>726.27</c:v>
                </c:pt>
                <c:pt idx="3" formatCode="General">
                  <c:v>714.95</c:v>
                </c:pt>
                <c:pt idx="4" formatCode="General">
                  <c:v>710.44</c:v>
                </c:pt>
                <c:pt idx="5" formatCode="General">
                  <c:v>708.76</c:v>
                </c:pt>
                <c:pt idx="6" formatCode="General">
                  <c:v>708.11</c:v>
                </c:pt>
                <c:pt idx="7" formatCode="General">
                  <c:v>707.18</c:v>
                </c:pt>
                <c:pt idx="8" formatCode="General">
                  <c:v>706.47</c:v>
                </c:pt>
                <c:pt idx="9" formatCode="General">
                  <c:v>717.6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7-4BB0-9384-0AF706BADF0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'6 Realistic'!$C$14:$L$14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ANSYS</c:v>
                </c:pt>
              </c:strCache>
            </c:strRef>
          </c:xVal>
          <c:yVal>
            <c:numRef>
              <c:f>'6 Realistic'!$C$17:$L$17</c:f>
              <c:numCache>
                <c:formatCode>0.00</c:formatCode>
                <c:ptCount val="10"/>
                <c:pt idx="0">
                  <c:v>2410.34</c:v>
                </c:pt>
                <c:pt idx="1">
                  <c:v>1181.97</c:v>
                </c:pt>
                <c:pt idx="2">
                  <c:v>1006.81</c:v>
                </c:pt>
                <c:pt idx="3" formatCode="General">
                  <c:v>974.26</c:v>
                </c:pt>
                <c:pt idx="4" formatCode="General">
                  <c:v>971.15</c:v>
                </c:pt>
                <c:pt idx="5" formatCode="General">
                  <c:v>970.1</c:v>
                </c:pt>
                <c:pt idx="6" formatCode="General">
                  <c:v>969.84</c:v>
                </c:pt>
                <c:pt idx="7" formatCode="General">
                  <c:v>969.61</c:v>
                </c:pt>
                <c:pt idx="8" formatCode="General">
                  <c:v>969.43</c:v>
                </c:pt>
                <c:pt idx="9" formatCode="General">
                  <c:v>978.76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17-4BB0-9384-0AF706BADF0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'6 Realistic'!$C$14:$L$14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ANSYS</c:v>
                </c:pt>
              </c:strCache>
            </c:strRef>
          </c:xVal>
          <c:yVal>
            <c:numRef>
              <c:f>'6 Realistic'!$C$18:$L$18</c:f>
              <c:numCache>
                <c:formatCode>0.00</c:formatCode>
                <c:ptCount val="10"/>
                <c:pt idx="0">
                  <c:v>4124.4799999999996</c:v>
                </c:pt>
                <c:pt idx="1">
                  <c:v>1660.02</c:v>
                </c:pt>
                <c:pt idx="2">
                  <c:v>1623.74</c:v>
                </c:pt>
                <c:pt idx="3" formatCode="General">
                  <c:v>1609.74</c:v>
                </c:pt>
                <c:pt idx="4" formatCode="General">
                  <c:v>1606.89</c:v>
                </c:pt>
                <c:pt idx="5" formatCode="General">
                  <c:v>1605.64</c:v>
                </c:pt>
                <c:pt idx="6" formatCode="General">
                  <c:v>1605.25</c:v>
                </c:pt>
                <c:pt idx="7" formatCode="General">
                  <c:v>1604.91</c:v>
                </c:pt>
                <c:pt idx="8" formatCode="General">
                  <c:v>1604.65</c:v>
                </c:pt>
                <c:pt idx="9" formatCode="General">
                  <c:v>1594.6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17-4BB0-9384-0AF706BADF0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'6 Realistic'!$C$14:$L$14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ANSYS</c:v>
                </c:pt>
              </c:strCache>
            </c:strRef>
          </c:xVal>
          <c:yVal>
            <c:numRef>
              <c:f>'6 Realistic'!$C$19:$L$19</c:f>
              <c:numCache>
                <c:formatCode>0.00</c:formatCode>
                <c:ptCount val="10"/>
                <c:pt idx="0">
                  <c:v>4967.92</c:v>
                </c:pt>
                <c:pt idx="1">
                  <c:v>2102.63</c:v>
                </c:pt>
                <c:pt idx="2">
                  <c:v>1735.78</c:v>
                </c:pt>
                <c:pt idx="3" formatCode="General">
                  <c:v>1665.59</c:v>
                </c:pt>
                <c:pt idx="4" formatCode="General">
                  <c:v>1658.78</c:v>
                </c:pt>
                <c:pt idx="5" formatCode="General">
                  <c:v>1655.96</c:v>
                </c:pt>
                <c:pt idx="6" formatCode="General">
                  <c:v>1655.43</c:v>
                </c:pt>
                <c:pt idx="7" formatCode="General">
                  <c:v>1654.66</c:v>
                </c:pt>
                <c:pt idx="8" formatCode="General">
                  <c:v>1654.06</c:v>
                </c:pt>
                <c:pt idx="9" formatCode="General">
                  <c:v>1678.8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17-4BB0-9384-0AF706BAD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037824"/>
        <c:axId val="1820915392"/>
      </c:scatterChart>
      <c:valAx>
        <c:axId val="194003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915392"/>
        <c:crosses val="autoZero"/>
        <c:crossBetween val="midCat"/>
      </c:valAx>
      <c:valAx>
        <c:axId val="18209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3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7056</xdr:rowOff>
    </xdr:from>
    <xdr:to>
      <xdr:col>20</xdr:col>
      <xdr:colOff>1</xdr:colOff>
      <xdr:row>9</xdr:row>
      <xdr:rowOff>152849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43514A-336A-BA14-9930-2421D1C60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4722" y="373945"/>
          <a:ext cx="2427112" cy="14299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417688</xdr:colOff>
      <xdr:row>1</xdr:row>
      <xdr:rowOff>67733</xdr:rowOff>
    </xdr:from>
    <xdr:to>
      <xdr:col>19</xdr:col>
      <xdr:colOff>341402</xdr:colOff>
      <xdr:row>8</xdr:row>
      <xdr:rowOff>155222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736E-74AD-035A-C08E-BAB844F5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355" y="251177"/>
          <a:ext cx="2350825" cy="13716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600429</xdr:colOff>
      <xdr:row>1</xdr:row>
      <xdr:rowOff>24695</xdr:rowOff>
    </xdr:from>
    <xdr:to>
      <xdr:col>19</xdr:col>
      <xdr:colOff>377586</xdr:colOff>
      <xdr:row>9</xdr:row>
      <xdr:rowOff>169417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CF5BC-6F5B-1FF5-2601-D32A10A2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6373" y="208139"/>
          <a:ext cx="2204268" cy="16122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50094</xdr:colOff>
      <xdr:row>1</xdr:row>
      <xdr:rowOff>153812</xdr:rowOff>
    </xdr:from>
    <xdr:to>
      <xdr:col>19</xdr:col>
      <xdr:colOff>189895</xdr:colOff>
      <xdr:row>11</xdr:row>
      <xdr:rowOff>14904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DD291-DFBF-25E1-0342-C3BE62A73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3205" y="337256"/>
          <a:ext cx="1960134" cy="16955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359833</xdr:colOff>
      <xdr:row>1</xdr:row>
      <xdr:rowOff>119945</xdr:rowOff>
    </xdr:from>
    <xdr:to>
      <xdr:col>19</xdr:col>
      <xdr:colOff>110884</xdr:colOff>
      <xdr:row>10</xdr:row>
      <xdr:rowOff>50176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8E5C3-622A-C092-60B9-89AF45C1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2055" y="303389"/>
          <a:ext cx="2178162" cy="15812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297744</xdr:colOff>
      <xdr:row>1</xdr:row>
      <xdr:rowOff>91722</xdr:rowOff>
    </xdr:from>
    <xdr:to>
      <xdr:col>19</xdr:col>
      <xdr:colOff>373504</xdr:colOff>
      <xdr:row>12</xdr:row>
      <xdr:rowOff>49389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A129F-A6AC-8953-1982-72BC0B68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1077" y="275166"/>
          <a:ext cx="2502871" cy="19755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319458</xdr:colOff>
      <xdr:row>1</xdr:row>
      <xdr:rowOff>22770</xdr:rowOff>
    </xdr:from>
    <xdr:to>
      <xdr:col>29</xdr:col>
      <xdr:colOff>4373</xdr:colOff>
      <xdr:row>12</xdr:row>
      <xdr:rowOff>20792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B5DA9-0DA7-1BF4-C111-E506DA9B1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68896" y="205333"/>
          <a:ext cx="2740853" cy="2006209"/>
        </a:xfrm>
        <a:prstGeom prst="rect">
          <a:avLst/>
        </a:prstGeom>
      </xdr:spPr>
    </xdr:pic>
    <xdr:clientData/>
  </xdr:twoCellAnchor>
  <xdr:twoCellAnchor>
    <xdr:from>
      <xdr:col>13</xdr:col>
      <xdr:colOff>305593</xdr:colOff>
      <xdr:row>10</xdr:row>
      <xdr:rowOff>116681</xdr:rowOff>
    </xdr:from>
    <xdr:to>
      <xdr:col>21</xdr:col>
      <xdr:colOff>3968</xdr:colOff>
      <xdr:row>31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F9018A-8E90-372B-32E1-1722FCC25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34BB-E38E-420F-9B5D-DC2C5463410E}">
  <dimension ref="B1:O22"/>
  <sheetViews>
    <sheetView zoomScale="90" zoomScaleNormal="90" workbookViewId="0">
      <selection activeCell="G20" sqref="G20"/>
    </sheetView>
  </sheetViews>
  <sheetFormatPr defaultRowHeight="14.5" x14ac:dyDescent="0.35"/>
  <cols>
    <col min="1" max="1" width="8.7265625" style="4"/>
    <col min="2" max="2" width="9.6328125" style="4" customWidth="1"/>
    <col min="3" max="3" width="7.08984375" style="4" customWidth="1"/>
    <col min="4" max="4" width="6.6328125" style="4" bestFit="1" customWidth="1"/>
    <col min="5" max="6" width="7.453125" style="4" bestFit="1" customWidth="1"/>
    <col min="7" max="7" width="9.26953125" style="4" bestFit="1" customWidth="1"/>
    <col min="8" max="8" width="8.7265625" style="4"/>
    <col min="9" max="9" width="7.453125" style="4" bestFit="1" customWidth="1"/>
    <col min="10" max="10" width="7.6328125" style="4" bestFit="1" customWidth="1"/>
    <col min="11" max="11" width="8.36328125" style="4" bestFit="1" customWidth="1"/>
    <col min="12" max="12" width="8.7265625" style="4"/>
    <col min="13" max="13" width="7.453125" style="4" bestFit="1" customWidth="1"/>
    <col min="14" max="14" width="7.6328125" style="4" bestFit="1" customWidth="1"/>
    <col min="15" max="15" width="9.90625" style="4" bestFit="1" customWidth="1"/>
    <col min="16" max="16384" width="8.7265625" style="4"/>
  </cols>
  <sheetData>
    <row r="1" spans="2:15" x14ac:dyDescent="0.35">
      <c r="B1" s="4" t="s">
        <v>28</v>
      </c>
    </row>
    <row r="2" spans="2:15" x14ac:dyDescent="0.35">
      <c r="B2" s="3" t="s">
        <v>29</v>
      </c>
      <c r="C2" s="3"/>
      <c r="D2" s="13"/>
      <c r="E2" s="13"/>
      <c r="F2" s="1"/>
      <c r="G2" s="1" t="s">
        <v>9</v>
      </c>
      <c r="H2" s="3"/>
      <c r="I2" s="1"/>
      <c r="J2" s="1" t="s">
        <v>18</v>
      </c>
      <c r="K2" s="1" t="s">
        <v>17</v>
      </c>
      <c r="L2" s="3"/>
    </row>
    <row r="3" spans="2:15" x14ac:dyDescent="0.35">
      <c r="B3" s="3" t="s">
        <v>38</v>
      </c>
      <c r="C3" s="3"/>
      <c r="D3" s="32" t="s">
        <v>3</v>
      </c>
      <c r="E3" s="29" t="s">
        <v>10</v>
      </c>
      <c r="F3" s="1" t="s">
        <v>13</v>
      </c>
      <c r="G3" s="1" t="s">
        <v>30</v>
      </c>
      <c r="H3" s="3"/>
      <c r="I3" s="29" t="s">
        <v>10</v>
      </c>
      <c r="J3" s="1" t="s">
        <v>13</v>
      </c>
      <c r="K3" s="1" t="s">
        <v>30</v>
      </c>
      <c r="L3" s="3"/>
      <c r="M3" s="1"/>
      <c r="N3" s="1" t="s">
        <v>18</v>
      </c>
      <c r="O3" s="1" t="s">
        <v>14</v>
      </c>
    </row>
    <row r="4" spans="2:15" x14ac:dyDescent="0.35">
      <c r="B4" s="3" t="s">
        <v>39</v>
      </c>
      <c r="C4" s="3"/>
      <c r="D4" s="32"/>
      <c r="E4" s="29"/>
      <c r="F4" s="1" t="s">
        <v>43</v>
      </c>
      <c r="G4" s="1" t="s">
        <v>2</v>
      </c>
      <c r="H4" s="3"/>
      <c r="I4" s="29"/>
      <c r="J4" s="1" t="s">
        <v>43</v>
      </c>
      <c r="K4" s="1" t="s">
        <v>2</v>
      </c>
      <c r="L4" s="3"/>
      <c r="M4" s="1" t="s">
        <v>43</v>
      </c>
      <c r="N4" s="1" t="s">
        <v>13</v>
      </c>
      <c r="O4" s="1" t="s">
        <v>30</v>
      </c>
    </row>
    <row r="5" spans="2:15" x14ac:dyDescent="0.35">
      <c r="B5" s="3" t="s">
        <v>40</v>
      </c>
      <c r="C5" s="5"/>
      <c r="D5" s="1">
        <v>1</v>
      </c>
      <c r="E5" s="1">
        <v>28.053000000000001</v>
      </c>
      <c r="F5" s="1">
        <v>28.02</v>
      </c>
      <c r="G5" s="6">
        <f>(F5-E5)/E5</f>
        <v>-1.176344775959835E-3</v>
      </c>
      <c r="H5" s="3"/>
      <c r="I5" s="1">
        <v>76.754000000000005</v>
      </c>
      <c r="J5" s="1">
        <v>76.66</v>
      </c>
      <c r="K5" s="6">
        <f>(J5-I5)/I5</f>
        <v>-1.2246918727363825E-3</v>
      </c>
      <c r="L5" s="3"/>
      <c r="M5" s="1">
        <v>101.89</v>
      </c>
      <c r="N5" s="1">
        <v>101.78</v>
      </c>
      <c r="O5" s="6">
        <f>(N5-M5)/M5</f>
        <v>-1.0795956423594016E-3</v>
      </c>
    </row>
    <row r="6" spans="2:15" x14ac:dyDescent="0.35">
      <c r="B6" s="3" t="s">
        <v>41</v>
      </c>
      <c r="C6" s="7"/>
      <c r="D6" s="1">
        <v>2</v>
      </c>
      <c r="E6" s="1">
        <v>94.215999999999994</v>
      </c>
      <c r="F6" s="1">
        <v>94.4</v>
      </c>
      <c r="G6" s="6">
        <f>(F6-E6)/E6</f>
        <v>1.9529591576803486E-3</v>
      </c>
      <c r="H6" s="3"/>
      <c r="I6" s="1">
        <v>116.64</v>
      </c>
      <c r="J6" s="1">
        <v>116.72</v>
      </c>
      <c r="K6" s="6">
        <f>(J6-I6)/I6</f>
        <v>6.8587105624141203E-4</v>
      </c>
      <c r="L6" s="3"/>
      <c r="M6" s="1">
        <v>134.71</v>
      </c>
      <c r="N6" s="1">
        <v>134.79</v>
      </c>
      <c r="O6" s="6">
        <f t="shared" ref="O6:O11" si="0">(N6-M6)/M6</f>
        <v>5.9386830970220529E-4</v>
      </c>
    </row>
    <row r="7" spans="2:15" x14ac:dyDescent="0.35">
      <c r="B7" s="3"/>
      <c r="C7" s="7"/>
      <c r="D7" s="1">
        <v>3</v>
      </c>
      <c r="E7" s="1">
        <v>174.28</v>
      </c>
      <c r="F7" s="1">
        <v>174</v>
      </c>
      <c r="G7" s="6">
        <f t="shared" ref="G7:G11" si="1">(F7-E7)/E7</f>
        <v>-1.6066100527886225E-3</v>
      </c>
      <c r="H7" s="3"/>
      <c r="I7" s="1">
        <v>242.67</v>
      </c>
      <c r="J7" s="1">
        <v>242.46</v>
      </c>
      <c r="K7" s="6">
        <f t="shared" ref="K7:K11" si="2">(J7-I7)/I7</f>
        <v>-8.653727283965037E-4</v>
      </c>
      <c r="L7" s="3"/>
      <c r="M7" s="1">
        <v>289.19</v>
      </c>
      <c r="N7" s="1">
        <v>289.2</v>
      </c>
      <c r="O7" s="6">
        <f t="shared" si="0"/>
        <v>3.4579342300877986E-5</v>
      </c>
    </row>
    <row r="8" spans="2:15" x14ac:dyDescent="0.35">
      <c r="B8" s="3"/>
      <c r="C8" s="7"/>
      <c r="D8" s="1">
        <v>4</v>
      </c>
      <c r="E8" s="1">
        <v>317.83</v>
      </c>
      <c r="F8" s="1">
        <v>318.43</v>
      </c>
      <c r="G8" s="6">
        <f t="shared" si="1"/>
        <v>1.8878016549728558E-3</v>
      </c>
      <c r="H8" s="3"/>
      <c r="I8" s="1">
        <v>361.55</v>
      </c>
      <c r="J8" s="1">
        <v>362.28</v>
      </c>
      <c r="K8" s="6">
        <f t="shared" si="2"/>
        <v>2.0190844973031704E-3</v>
      </c>
      <c r="L8" s="3"/>
      <c r="M8" s="1">
        <v>396.62</v>
      </c>
      <c r="N8" s="1">
        <v>397.71</v>
      </c>
      <c r="O8" s="6">
        <f t="shared" si="0"/>
        <v>2.7482224799555621E-3</v>
      </c>
    </row>
    <row r="9" spans="2:15" x14ac:dyDescent="0.35">
      <c r="B9" s="3"/>
      <c r="C9" s="7"/>
      <c r="D9" s="1">
        <v>5</v>
      </c>
      <c r="E9" s="1">
        <v>433.49</v>
      </c>
      <c r="F9" s="1">
        <v>437.54</v>
      </c>
      <c r="G9" s="6">
        <f t="shared" si="1"/>
        <v>9.3427760732658453E-3</v>
      </c>
      <c r="H9" s="3"/>
      <c r="I9" s="1">
        <v>443.8</v>
      </c>
      <c r="J9" s="1">
        <v>447.05</v>
      </c>
      <c r="K9" s="6">
        <f t="shared" si="2"/>
        <v>7.3231185218566924E-3</v>
      </c>
      <c r="L9" s="3"/>
      <c r="M9" s="1">
        <v>451.49</v>
      </c>
      <c r="N9" s="1">
        <v>453.86</v>
      </c>
      <c r="O9" s="6">
        <f t="shared" si="0"/>
        <v>5.2492856984650924E-3</v>
      </c>
    </row>
    <row r="10" spans="2:15" x14ac:dyDescent="0.35">
      <c r="B10" s="3"/>
      <c r="C10" s="7"/>
      <c r="D10" s="1">
        <v>6</v>
      </c>
      <c r="E10" s="1">
        <v>499.72</v>
      </c>
      <c r="F10" s="1">
        <v>511.26</v>
      </c>
      <c r="G10" s="6">
        <f t="shared" si="1"/>
        <v>2.3092932041943414E-2</v>
      </c>
      <c r="H10" s="3"/>
      <c r="I10" s="1">
        <v>569.21</v>
      </c>
      <c r="J10" s="1">
        <v>577.07000000000005</v>
      </c>
      <c r="K10" s="6">
        <f t="shared" si="2"/>
        <v>1.3808611935840926E-2</v>
      </c>
      <c r="L10" s="3"/>
      <c r="M10" s="1">
        <v>628.76</v>
      </c>
      <c r="N10" s="1">
        <v>633.04999999999995</v>
      </c>
      <c r="O10" s="6">
        <f t="shared" si="0"/>
        <v>6.8229531140657227E-3</v>
      </c>
    </row>
    <row r="11" spans="2:15" x14ac:dyDescent="0.35">
      <c r="B11" s="27" t="s">
        <v>47</v>
      </c>
      <c r="C11" s="7">
        <v>0.3</v>
      </c>
      <c r="D11" s="1">
        <v>7</v>
      </c>
      <c r="E11" s="1">
        <v>648.52</v>
      </c>
      <c r="F11" s="1">
        <v>661.15</v>
      </c>
      <c r="G11" s="6">
        <f t="shared" si="1"/>
        <v>1.9475112563991853E-2</v>
      </c>
      <c r="H11" s="3"/>
      <c r="I11" s="1">
        <v>706.93</v>
      </c>
      <c r="J11" s="1">
        <v>717.13</v>
      </c>
      <c r="K11" s="6">
        <f t="shared" si="2"/>
        <v>1.4428585574243626E-2</v>
      </c>
      <c r="L11" s="3"/>
      <c r="M11" s="1">
        <v>744.08</v>
      </c>
      <c r="N11" s="1">
        <v>745.26</v>
      </c>
      <c r="O11" s="6">
        <f t="shared" si="0"/>
        <v>1.5858509837651193E-3</v>
      </c>
    </row>
    <row r="12" spans="2:15" x14ac:dyDescent="0.35">
      <c r="B12" s="27" t="s">
        <v>48</v>
      </c>
      <c r="C12" s="7">
        <v>0.2</v>
      </c>
      <c r="D12" s="3"/>
      <c r="E12" s="3"/>
      <c r="F12" s="3"/>
      <c r="G12" s="8"/>
      <c r="H12" s="3"/>
      <c r="I12" s="3"/>
      <c r="J12" s="3"/>
      <c r="K12" s="8"/>
      <c r="L12" s="3"/>
    </row>
    <row r="13" spans="2:15" x14ac:dyDescent="0.35">
      <c r="B13" s="27" t="s">
        <v>49</v>
      </c>
      <c r="C13" s="3">
        <v>3.0000000000000001E-3</v>
      </c>
      <c r="D13" s="3">
        <v>1</v>
      </c>
      <c r="E13" s="28">
        <f t="shared" ref="E13:F17" si="3">E5*2*PI()*($C$11*$C$12/$C$13)*SQRT(12*$C$15*(1-$C$14^2)/$C$16)</f>
        <v>2.3079177402799118</v>
      </c>
      <c r="F13" s="28">
        <f t="shared" si="3"/>
        <v>2.305202833302789</v>
      </c>
      <c r="G13" s="8">
        <f>(F13-E13)/E13</f>
        <v>-1.1763447759596368E-3</v>
      </c>
      <c r="H13" s="3"/>
      <c r="I13" s="28">
        <f>I5*2*PI()*($C$11*$C$12/$C$13)*SQRT(12*$C$15*(1-$C$14^2)/$C$16)</f>
        <v>6.3145445491549701</v>
      </c>
      <c r="J13" s="28">
        <f>J5*2*PI()*($C$11*$C$12/$C$13)*SQRT(12*$C$15*(1-$C$14^2)/$C$16)</f>
        <v>6.3068111777655878</v>
      </c>
      <c r="K13" s="8">
        <f>(J13-I13)/I13</f>
        <v>-1.224691872736451E-3</v>
      </c>
      <c r="L13" s="3"/>
      <c r="M13" s="28">
        <f>M5*2*PI()*($C$11*$C$12/$C$13)*SQRT(12*$C$15*(1-$C$14^2)/$C$16)</f>
        <v>8.3824809666388713</v>
      </c>
      <c r="N13" s="28">
        <f>N5*2*PI()*($C$11*$C$12/$C$13)*SQRT(12*$C$15*(1-$C$14^2)/$C$16)</f>
        <v>8.3734312767151273</v>
      </c>
      <c r="O13" s="8">
        <f>(N13-M13)/M13</f>
        <v>-1.0795956423594072E-3</v>
      </c>
    </row>
    <row r="14" spans="2:15" x14ac:dyDescent="0.35">
      <c r="B14" s="27" t="s">
        <v>50</v>
      </c>
      <c r="C14" s="7">
        <v>0.3</v>
      </c>
      <c r="D14" s="3">
        <v>2</v>
      </c>
      <c r="E14" s="28">
        <f t="shared" si="3"/>
        <v>7.7511416895951299</v>
      </c>
      <c r="F14" s="28">
        <f t="shared" si="3"/>
        <v>7.7662793527403036</v>
      </c>
      <c r="G14" s="8">
        <f t="shared" ref="G14:G17" si="4">(F14-E14)/E14</f>
        <v>1.952959157680462E-3</v>
      </c>
      <c r="H14" s="3"/>
      <c r="I14" s="28">
        <f t="shared" ref="I14:J14" si="5">I6*2*PI()*($C$11*$C$12/$C$13)*SQRT(12*$C$15*(1-$C$14^2)/$C$16)</f>
        <v>9.5959621155045429</v>
      </c>
      <c r="J14" s="28">
        <f t="shared" si="5"/>
        <v>9.6025437081763574</v>
      </c>
      <c r="K14" s="8">
        <f t="shared" ref="K14:K17" si="6">(J14-I14)/I14</f>
        <v>6.85871056241494E-4</v>
      </c>
      <c r="L14" s="3"/>
      <c r="M14" s="28">
        <f t="shared" ref="M14:N14" si="7">M6*2*PI()*($C$11*$C$12/$C$13)*SQRT(12*$C$15*(1-$C$14^2)/$C$16)</f>
        <v>11.082579360250488</v>
      </c>
      <c r="N14" s="28">
        <f t="shared" si="7"/>
        <v>11.089160952922301</v>
      </c>
      <c r="O14" s="8">
        <f t="shared" ref="O14:O17" si="8">(N14-M14)/M14</f>
        <v>5.9386830970222166E-4</v>
      </c>
    </row>
    <row r="15" spans="2:15" x14ac:dyDescent="0.35">
      <c r="B15" s="27" t="s">
        <v>51</v>
      </c>
      <c r="C15" s="3">
        <v>7850</v>
      </c>
      <c r="D15" s="3">
        <v>3</v>
      </c>
      <c r="E15" s="28">
        <f t="shared" si="3"/>
        <v>14.337999635546398</v>
      </c>
      <c r="F15" s="28">
        <f t="shared" si="3"/>
        <v>14.314964061195049</v>
      </c>
      <c r="G15" s="8">
        <f t="shared" si="4"/>
        <v>-1.60661005278865E-3</v>
      </c>
      <c r="H15" s="3"/>
      <c r="I15" s="28">
        <f t="shared" ref="I15:J15" si="9">I7*2*PI()*($C$11*$C$12/$C$13)*SQRT(12*$C$15*(1-$C$14^2)/$C$16)</f>
        <v>19.964438670863231</v>
      </c>
      <c r="J15" s="28">
        <f t="shared" si="9"/>
        <v>19.947161990099723</v>
      </c>
      <c r="K15" s="8">
        <f t="shared" si="6"/>
        <v>-8.6537272839645068E-4</v>
      </c>
      <c r="L15" s="3"/>
      <c r="M15" s="28">
        <f t="shared" ref="M15:N15" si="10">M7*2*PI()*($C$11*$C$12/$C$13)*SQRT(12*$C$15*(1-$C$14^2)/$C$16)</f>
        <v>23.791634809522968</v>
      </c>
      <c r="N15" s="28">
        <f t="shared" si="10"/>
        <v>23.79245750860694</v>
      </c>
      <c r="O15" s="8">
        <f t="shared" si="8"/>
        <v>3.4579342300726177E-5</v>
      </c>
    </row>
    <row r="16" spans="2:15" x14ac:dyDescent="0.35">
      <c r="B16" s="27" t="s">
        <v>52</v>
      </c>
      <c r="C16" s="3">
        <f>2*10^11</f>
        <v>200000000000</v>
      </c>
      <c r="D16" s="3">
        <v>4</v>
      </c>
      <c r="E16" s="28">
        <f t="shared" si="3"/>
        <v>26.147844986032311</v>
      </c>
      <c r="F16" s="28">
        <f t="shared" si="3"/>
        <v>26.197206931070916</v>
      </c>
      <c r="G16" s="8">
        <f t="shared" si="4"/>
        <v>1.8878016549728339E-3</v>
      </c>
      <c r="H16" s="3"/>
      <c r="I16" s="28">
        <f t="shared" ref="I16:J16" si="11">I8*2*PI()*($C$11*$C$12/$C$13)*SQRT(12*$C$15*(1-$C$14^2)/$C$16)</f>
        <v>29.744685381178563</v>
      </c>
      <c r="J16" s="28">
        <f t="shared" si="11"/>
        <v>29.804742414308858</v>
      </c>
      <c r="K16" s="8">
        <f t="shared" si="6"/>
        <v>2.0190844973030876E-3</v>
      </c>
      <c r="L16" s="3"/>
      <c r="M16" s="28">
        <f t="shared" ref="M16:N16" si="12">M8*2*PI()*($C$11*$C$12/$C$13)*SQRT(12*$C$15*(1-$C$14^2)/$C$16)</f>
        <v>32.629891068684948</v>
      </c>
      <c r="N16" s="28">
        <f t="shared" si="12"/>
        <v>32.719565268838409</v>
      </c>
      <c r="O16" s="8">
        <f t="shared" si="8"/>
        <v>2.7482224799555408E-3</v>
      </c>
    </row>
    <row r="17" spans="2:15" x14ac:dyDescent="0.35">
      <c r="B17" s="3"/>
      <c r="C17" s="3"/>
      <c r="D17" s="3">
        <v>5</v>
      </c>
      <c r="E17" s="28">
        <f t="shared" si="3"/>
        <v>35.663182591307141</v>
      </c>
      <c r="F17" s="28">
        <f t="shared" si="3"/>
        <v>35.996375720317715</v>
      </c>
      <c r="G17" s="8">
        <f t="shared" si="4"/>
        <v>9.3427760732658141E-3</v>
      </c>
      <c r="H17" s="3"/>
      <c r="I17" s="28">
        <f t="shared" ref="I17:J17" si="13">I9*2*PI()*($C$11*$C$12/$C$13)*SQRT(12*$C$15*(1-$C$14^2)/$C$16)</f>
        <v>36.511385346887145</v>
      </c>
      <c r="J17" s="28">
        <f t="shared" si="13"/>
        <v>36.778762549179582</v>
      </c>
      <c r="K17" s="8">
        <f t="shared" si="6"/>
        <v>7.3231185218567054E-3</v>
      </c>
      <c r="L17" s="3"/>
      <c r="M17" s="28">
        <f t="shared" ref="M17:N17" si="14">M9*2*PI()*($C$11*$C$12/$C$13)*SQRT(12*$C$15*(1-$C$14^2)/$C$16)</f>
        <v>37.144040942465253</v>
      </c>
      <c r="N17" s="28">
        <f t="shared" si="14"/>
        <v>37.339020625367731</v>
      </c>
      <c r="O17" s="8">
        <f t="shared" si="8"/>
        <v>5.2492856984649033E-3</v>
      </c>
    </row>
    <row r="18" spans="2:15" x14ac:dyDescent="0.35">
      <c r="B18" s="3"/>
      <c r="C18" s="8"/>
      <c r="D18" s="3"/>
      <c r="E18" s="3"/>
      <c r="F18" s="3"/>
      <c r="G18" s="3"/>
      <c r="H18" s="3"/>
      <c r="L18" s="3"/>
    </row>
    <row r="19" spans="2:15" x14ac:dyDescent="0.35">
      <c r="B19" s="3"/>
      <c r="C19" s="8"/>
      <c r="D19" s="3"/>
      <c r="E19" s="3"/>
      <c r="F19" s="3"/>
      <c r="G19" s="3"/>
      <c r="H19" s="3"/>
      <c r="L19" s="3"/>
    </row>
    <row r="20" spans="2:15" x14ac:dyDescent="0.35">
      <c r="B20" s="3"/>
      <c r="C20" s="8"/>
      <c r="D20" s="3"/>
      <c r="E20" s="3"/>
      <c r="F20" s="3"/>
      <c r="G20" s="3"/>
      <c r="H20" s="3"/>
      <c r="L20" s="3"/>
    </row>
    <row r="21" spans="2:15" x14ac:dyDescent="0.35">
      <c r="B21" s="3"/>
      <c r="C21" s="8"/>
      <c r="D21" s="3"/>
      <c r="E21" s="3"/>
      <c r="F21" s="3"/>
      <c r="G21" s="3"/>
      <c r="H21" s="3"/>
      <c r="L21" s="3"/>
    </row>
    <row r="22" spans="2:15" x14ac:dyDescent="0.35">
      <c r="B22" s="3"/>
      <c r="C22" s="8"/>
      <c r="D22" s="3"/>
      <c r="E22" s="3"/>
      <c r="F22" s="3"/>
      <c r="G22" s="3"/>
      <c r="H22" s="3"/>
      <c r="I22" s="3"/>
      <c r="J22" s="3"/>
      <c r="K22" s="3"/>
      <c r="L22" s="3"/>
    </row>
  </sheetData>
  <mergeCells count="3">
    <mergeCell ref="D3:D4"/>
    <mergeCell ref="E3:E4"/>
    <mergeCell ref="I3: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A862-2B18-4AD1-88F1-2EBDEEDB204A}">
  <dimension ref="B1:O22"/>
  <sheetViews>
    <sheetView zoomScale="90" zoomScaleNormal="90" workbookViewId="0">
      <selection activeCell="F19" sqref="F19"/>
    </sheetView>
  </sheetViews>
  <sheetFormatPr defaultRowHeight="14.5" x14ac:dyDescent="0.35"/>
  <cols>
    <col min="1" max="1" width="8.7265625" style="3"/>
    <col min="2" max="2" width="11.26953125" style="3" customWidth="1"/>
    <col min="3" max="3" width="7.7265625" style="3" customWidth="1"/>
    <col min="4" max="4" width="6.6328125" style="3" bestFit="1" customWidth="1"/>
    <col min="5" max="5" width="7.453125" style="3" bestFit="1" customWidth="1"/>
    <col min="6" max="6" width="9.26953125" style="3" bestFit="1" customWidth="1"/>
    <col min="7" max="7" width="8" style="3" bestFit="1" customWidth="1"/>
    <col min="8" max="8" width="8.7265625" style="3"/>
    <col min="9" max="9" width="7.453125" style="3" bestFit="1" customWidth="1"/>
    <col min="10" max="10" width="7.6328125" style="3" bestFit="1" customWidth="1"/>
    <col min="11" max="11" width="9.36328125" style="3" bestFit="1" customWidth="1"/>
    <col min="12" max="12" width="8.7265625" style="3"/>
    <col min="13" max="13" width="7.453125" style="3" bestFit="1" customWidth="1"/>
    <col min="14" max="14" width="7.6328125" style="3" bestFit="1" customWidth="1"/>
    <col min="15" max="15" width="9.90625" style="3" bestFit="1" customWidth="1"/>
    <col min="16" max="16384" width="8.7265625" style="3"/>
  </cols>
  <sheetData>
    <row r="1" spans="2:15" x14ac:dyDescent="0.35">
      <c r="B1" s="3" t="s">
        <v>8</v>
      </c>
    </row>
    <row r="2" spans="2:15" x14ac:dyDescent="0.35">
      <c r="B2" s="3" t="s">
        <v>27</v>
      </c>
      <c r="D2" s="32"/>
      <c r="E2" s="32"/>
      <c r="F2" s="1" t="s">
        <v>9</v>
      </c>
      <c r="G2" s="1"/>
      <c r="I2" s="1"/>
      <c r="J2" s="1" t="s">
        <v>18</v>
      </c>
      <c r="K2" s="1" t="s">
        <v>11</v>
      </c>
    </row>
    <row r="3" spans="2:15" x14ac:dyDescent="0.35">
      <c r="B3" s="3" t="s">
        <v>38</v>
      </c>
      <c r="D3" s="32" t="s">
        <v>3</v>
      </c>
      <c r="E3" s="29" t="s">
        <v>10</v>
      </c>
      <c r="F3" s="1" t="s">
        <v>13</v>
      </c>
      <c r="G3" s="1" t="s">
        <v>15</v>
      </c>
      <c r="I3" s="29" t="s">
        <v>10</v>
      </c>
      <c r="J3" s="1" t="s">
        <v>13</v>
      </c>
      <c r="K3" s="1" t="s">
        <v>15</v>
      </c>
      <c r="M3" s="29" t="s">
        <v>10</v>
      </c>
      <c r="N3" s="1" t="s">
        <v>18</v>
      </c>
      <c r="O3" s="1" t="s">
        <v>14</v>
      </c>
    </row>
    <row r="4" spans="2:15" x14ac:dyDescent="0.35">
      <c r="B4" s="3" t="s">
        <v>39</v>
      </c>
      <c r="D4" s="32"/>
      <c r="E4" s="29"/>
      <c r="F4" s="1" t="s">
        <v>43</v>
      </c>
      <c r="G4" s="1" t="s">
        <v>2</v>
      </c>
      <c r="I4" s="29"/>
      <c r="J4" s="1" t="s">
        <v>43</v>
      </c>
      <c r="K4" s="1" t="s">
        <v>2</v>
      </c>
      <c r="M4" s="29"/>
      <c r="N4" s="1" t="s">
        <v>13</v>
      </c>
      <c r="O4" s="1" t="s">
        <v>16</v>
      </c>
    </row>
    <row r="5" spans="2:15" x14ac:dyDescent="0.35">
      <c r="B5" s="3" t="s">
        <v>40</v>
      </c>
      <c r="C5" s="5"/>
      <c r="D5" s="1">
        <v>1</v>
      </c>
      <c r="E5" s="1">
        <v>28.024000000000001</v>
      </c>
      <c r="F5" s="1">
        <v>28.02</v>
      </c>
      <c r="G5" s="6">
        <f>(F5-E5)/E5</f>
        <v>-1.4273479874398143E-4</v>
      </c>
      <c r="I5" s="3">
        <v>76.697999999999993</v>
      </c>
      <c r="J5" s="1">
        <v>76.66</v>
      </c>
      <c r="K5" s="6">
        <f>(J5-I5)/I5</f>
        <v>-4.9544968578055107E-4</v>
      </c>
      <c r="M5" s="3">
        <v>101.84</v>
      </c>
      <c r="N5" s="12">
        <v>101.79</v>
      </c>
      <c r="O5" s="6">
        <f>(N5-M5)/M5</f>
        <v>-4.9096622152393127E-4</v>
      </c>
    </row>
    <row r="6" spans="2:15" x14ac:dyDescent="0.35">
      <c r="C6" s="7"/>
      <c r="D6" s="1">
        <v>2</v>
      </c>
      <c r="E6" s="1">
        <v>94.156999999999996</v>
      </c>
      <c r="F6" s="1">
        <v>94.4</v>
      </c>
      <c r="G6" s="6">
        <f>(F6-E6)/E6</f>
        <v>2.5807959047124403E-3</v>
      </c>
      <c r="I6" s="3">
        <v>118.66</v>
      </c>
      <c r="J6" s="1">
        <v>118.92</v>
      </c>
      <c r="K6" s="6">
        <f>(J6-I6)/I6</f>
        <v>2.1911343333895594E-3</v>
      </c>
      <c r="M6" s="3">
        <v>136.49</v>
      </c>
      <c r="N6" s="12">
        <v>136.69999999999999</v>
      </c>
      <c r="O6" s="6">
        <f t="shared" ref="O6:O11" si="0">(N6-M6)/M6</f>
        <v>1.5385742545239909E-3</v>
      </c>
    </row>
    <row r="7" spans="2:15" x14ac:dyDescent="0.35">
      <c r="C7" s="7"/>
      <c r="D7" s="1">
        <v>3</v>
      </c>
      <c r="E7" s="1">
        <v>174.1</v>
      </c>
      <c r="F7" s="1">
        <v>174</v>
      </c>
      <c r="G7" s="6">
        <f t="shared" ref="G7:G11" si="1">(F7-E7)/E7</f>
        <v>-5.7438253877078874E-4</v>
      </c>
      <c r="I7" s="3">
        <v>242.49</v>
      </c>
      <c r="J7" s="1">
        <v>242.48</v>
      </c>
      <c r="K7" s="6">
        <f t="shared" ref="K7:K11" si="2">(J7-I7)/I7</f>
        <v>-4.1238813971789873E-5</v>
      </c>
      <c r="M7" s="3">
        <v>289.02</v>
      </c>
      <c r="N7" s="12">
        <v>289.23</v>
      </c>
      <c r="O7" s="6">
        <f t="shared" si="0"/>
        <v>7.2659331534162476E-4</v>
      </c>
    </row>
    <row r="8" spans="2:15" x14ac:dyDescent="0.35">
      <c r="C8" s="7"/>
      <c r="D8" s="1">
        <v>4</v>
      </c>
      <c r="E8" s="1">
        <v>317.61</v>
      </c>
      <c r="F8" s="1">
        <v>318.43</v>
      </c>
      <c r="G8" s="6">
        <f t="shared" si="1"/>
        <v>2.5817826894618972E-3</v>
      </c>
      <c r="I8" s="3">
        <v>361.91</v>
      </c>
      <c r="J8" s="1">
        <v>362.97</v>
      </c>
      <c r="K8" s="6">
        <f t="shared" si="2"/>
        <v>2.9289049763753482E-3</v>
      </c>
      <c r="M8" s="3">
        <v>396.98</v>
      </c>
      <c r="N8" s="12">
        <v>398.34</v>
      </c>
      <c r="O8" s="6">
        <f t="shared" si="0"/>
        <v>3.4258652828856786E-3</v>
      </c>
    </row>
    <row r="9" spans="2:15" x14ac:dyDescent="0.35">
      <c r="C9" s="7"/>
      <c r="D9" s="1">
        <v>5</v>
      </c>
      <c r="E9" s="1">
        <v>433.1</v>
      </c>
      <c r="F9" s="1">
        <v>437.54</v>
      </c>
      <c r="G9" s="6">
        <f t="shared" si="1"/>
        <v>1.0251673978295999E-2</v>
      </c>
      <c r="I9" s="3">
        <v>444.63</v>
      </c>
      <c r="J9" s="1">
        <v>448.73</v>
      </c>
      <c r="K9" s="6">
        <f t="shared" si="2"/>
        <v>9.2211501698041577E-3</v>
      </c>
      <c r="M9" s="3">
        <v>451.36</v>
      </c>
      <c r="N9" s="12">
        <v>455.54</v>
      </c>
      <c r="O9" s="6">
        <f t="shared" si="0"/>
        <v>9.2609003899326633E-3</v>
      </c>
    </row>
    <row r="10" spans="2:15" x14ac:dyDescent="0.35">
      <c r="C10" s="7"/>
      <c r="D10" s="1">
        <v>6</v>
      </c>
      <c r="E10" s="1">
        <v>499.23</v>
      </c>
      <c r="F10" s="1">
        <v>511.26</v>
      </c>
      <c r="G10" s="6">
        <f t="shared" si="1"/>
        <v>2.4097109548704952E-2</v>
      </c>
      <c r="I10" s="3">
        <v>568.61</v>
      </c>
      <c r="J10" s="1">
        <v>577.14</v>
      </c>
      <c r="K10" s="6">
        <f t="shared" si="2"/>
        <v>1.5001494873463309E-2</v>
      </c>
      <c r="M10" s="3">
        <v>626.59</v>
      </c>
      <c r="N10" s="12">
        <v>633.1</v>
      </c>
      <c r="O10" s="6">
        <f t="shared" si="0"/>
        <v>1.038956893662521E-2</v>
      </c>
    </row>
    <row r="11" spans="2:15" x14ac:dyDescent="0.35">
      <c r="B11" s="27" t="s">
        <v>47</v>
      </c>
      <c r="C11" s="7">
        <v>0.3</v>
      </c>
      <c r="D11" s="1">
        <v>7</v>
      </c>
      <c r="E11" s="1">
        <v>650.07000000000005</v>
      </c>
      <c r="F11" s="1">
        <v>661.15</v>
      </c>
      <c r="G11" s="6">
        <f t="shared" si="1"/>
        <v>1.7044318304182512E-2</v>
      </c>
      <c r="I11" s="3">
        <v>707.11</v>
      </c>
      <c r="J11" s="1">
        <v>717.45</v>
      </c>
      <c r="K11" s="6">
        <f t="shared" si="2"/>
        <v>1.462290167017866E-2</v>
      </c>
      <c r="M11" s="3">
        <v>739.41</v>
      </c>
      <c r="N11" s="12">
        <v>746.26</v>
      </c>
      <c r="O11" s="6">
        <f t="shared" si="0"/>
        <v>9.2641430329587406E-3</v>
      </c>
    </row>
    <row r="12" spans="2:15" x14ac:dyDescent="0.35">
      <c r="B12" s="27" t="s">
        <v>48</v>
      </c>
      <c r="C12" s="7">
        <v>0.2</v>
      </c>
      <c r="G12" s="8"/>
      <c r="K12" s="8"/>
    </row>
    <row r="13" spans="2:15" x14ac:dyDescent="0.35">
      <c r="B13" s="27" t="s">
        <v>49</v>
      </c>
      <c r="C13" s="3">
        <v>3.0000000000000001E-3</v>
      </c>
      <c r="E13" s="28">
        <f>E5*2*PI()*($C$11*$C$12/$C$13)*SQRT(12*$C$15*(1-$C$14^2)/$C$16)</f>
        <v>2.30553191293638</v>
      </c>
      <c r="F13" s="28">
        <f>F5*2*PI()*($C$11*$C$12/$C$13)*SQRT(12*$C$15*(1-$C$14^2)/$C$16)</f>
        <v>2.305202833302789</v>
      </c>
      <c r="G13" s="8">
        <f>(F13-E13)/E13</f>
        <v>-1.4273479874410186E-4</v>
      </c>
      <c r="H13" s="5"/>
      <c r="I13" s="28">
        <f>I5*2*PI()*($C$11*$C$12/$C$13)*SQRT(12*$C$15*(1-$C$14^2)/$C$16)</f>
        <v>6.3099374342847003</v>
      </c>
      <c r="J13" s="28">
        <f>J5*2*PI()*($C$11*$C$12/$C$13)*SQRT(12*$C$15*(1-$C$14^2)/$C$16)</f>
        <v>6.3068111777655878</v>
      </c>
      <c r="K13" s="8">
        <f>(J13-I13)/I13</f>
        <v>-4.9544968578075534E-4</v>
      </c>
      <c r="L13" s="5"/>
      <c r="M13" s="28">
        <f>M5*2*PI()*($C$11*$C$12/$C$13)*SQRT(12*$C$15*(1-$C$14^2)/$C$16)</f>
        <v>8.3783674712189882</v>
      </c>
      <c r="N13" s="28">
        <f>N5*2*PI()*($C$11*$C$12/$C$13)*SQRT(12*$C$15*(1-$C$14^2)/$C$16)</f>
        <v>8.374253975799105</v>
      </c>
      <c r="O13" s="8">
        <f>(N13-M13)/M13</f>
        <v>-4.9096622152390134E-4</v>
      </c>
    </row>
    <row r="14" spans="2:15" x14ac:dyDescent="0.35">
      <c r="B14" s="27" t="s">
        <v>50</v>
      </c>
      <c r="C14" s="7">
        <v>0.3</v>
      </c>
      <c r="E14" s="28">
        <f t="shared" ref="E14:F17" si="3">E6*2*PI()*($C$11*$C$12/$C$13)*SQRT(12*$C$15*(1-$C$14^2)/$C$16)</f>
        <v>7.7462877649996678</v>
      </c>
      <c r="F14" s="28">
        <f t="shared" si="3"/>
        <v>7.7662793527403036</v>
      </c>
      <c r="G14" s="8">
        <f t="shared" ref="G14:G17" si="4">(F14-E14)/E14</f>
        <v>2.5807959047125157E-3</v>
      </c>
      <c r="H14" s="5"/>
      <c r="I14" s="28">
        <f t="shared" ref="I14:J14" si="5">I6*2*PI()*($C$11*$C$12/$C$13)*SQRT(12*$C$15*(1-$C$14^2)/$C$16)</f>
        <v>9.7621473304678421</v>
      </c>
      <c r="J14" s="28">
        <f t="shared" si="5"/>
        <v>9.7835375066512373</v>
      </c>
      <c r="K14" s="8">
        <f t="shared" ref="K14:K17" si="6">(J14-I14)/I14</f>
        <v>2.1911343333895494E-3</v>
      </c>
      <c r="L14" s="5"/>
      <c r="M14" s="28">
        <f t="shared" ref="M14:N14" si="7">M6*2*PI()*($C$11*$C$12/$C$13)*SQRT(12*$C$15*(1-$C$14^2)/$C$16)</f>
        <v>11.229019797198347</v>
      </c>
      <c r="N14" s="28">
        <f t="shared" si="7"/>
        <v>11.246296477961856</v>
      </c>
      <c r="O14" s="8">
        <f t="shared" ref="O14:O17" si="8">(N14-M14)/M14</f>
        <v>1.5385742545238966E-3</v>
      </c>
    </row>
    <row r="15" spans="2:15" x14ac:dyDescent="0.35">
      <c r="B15" s="27" t="s">
        <v>51</v>
      </c>
      <c r="C15" s="3">
        <v>7850</v>
      </c>
      <c r="E15" s="28">
        <f t="shared" si="3"/>
        <v>14.323191052034815</v>
      </c>
      <c r="F15" s="28">
        <f t="shared" si="3"/>
        <v>14.314964061195049</v>
      </c>
      <c r="G15" s="8">
        <f t="shared" si="4"/>
        <v>-5.7438253877075383E-4</v>
      </c>
      <c r="H15" s="5"/>
      <c r="I15" s="28">
        <f t="shared" ref="I15:J15" si="9">I7*2*PI()*($C$11*$C$12/$C$13)*SQRT(12*$C$15*(1-$C$14^2)/$C$16)</f>
        <v>19.949630087351654</v>
      </c>
      <c r="J15" s="28">
        <f t="shared" si="9"/>
        <v>19.948807388267678</v>
      </c>
      <c r="K15" s="8">
        <f t="shared" si="6"/>
        <v>-4.1238813971669703E-5</v>
      </c>
      <c r="L15" s="5"/>
      <c r="M15" s="28">
        <f t="shared" ref="M15:N15" si="10">M7*2*PI()*($C$11*$C$12/$C$13)*SQRT(12*$C$15*(1-$C$14^2)/$C$16)</f>
        <v>23.777648925095363</v>
      </c>
      <c r="N15" s="28">
        <f t="shared" si="10"/>
        <v>23.794925605858879</v>
      </c>
      <c r="O15" s="8">
        <f t="shared" si="8"/>
        <v>7.2659331534168233E-4</v>
      </c>
    </row>
    <row r="16" spans="2:15" x14ac:dyDescent="0.35">
      <c r="B16" s="27" t="s">
        <v>52</v>
      </c>
      <c r="C16" s="3">
        <f>2*10^11</f>
        <v>200000000000</v>
      </c>
      <c r="E16" s="28">
        <f t="shared" si="3"/>
        <v>26.129745606184827</v>
      </c>
      <c r="F16" s="28">
        <f t="shared" si="3"/>
        <v>26.197206931070916</v>
      </c>
      <c r="G16" s="8">
        <f t="shared" si="4"/>
        <v>2.5817826894618322E-3</v>
      </c>
      <c r="H16" s="5"/>
      <c r="I16" s="28">
        <f t="shared" ref="I16:J16" si="11">I8*2*PI()*($C$11*$C$12/$C$13)*SQRT(12*$C$15*(1-$C$14^2)/$C$16)</f>
        <v>29.774302548201728</v>
      </c>
      <c r="J16" s="28">
        <f t="shared" si="11"/>
        <v>29.861508651103264</v>
      </c>
      <c r="K16" s="8">
        <f t="shared" si="6"/>
        <v>2.9289049763754505E-3</v>
      </c>
      <c r="L16" s="5"/>
      <c r="M16" s="28">
        <f t="shared" ref="M16:N16" si="12">M8*2*PI()*($C$11*$C$12/$C$13)*SQRT(12*$C$15*(1-$C$14^2)/$C$16)</f>
        <v>32.65950823570811</v>
      </c>
      <c r="N16" s="28">
        <f t="shared" si="12"/>
        <v>32.771395311128941</v>
      </c>
      <c r="O16" s="8">
        <f t="shared" si="8"/>
        <v>3.425865282885689E-3</v>
      </c>
    </row>
    <row r="17" spans="3:15" x14ac:dyDescent="0.35">
      <c r="E17" s="28">
        <f t="shared" si="3"/>
        <v>35.631097327032045</v>
      </c>
      <c r="F17" s="28">
        <f t="shared" si="3"/>
        <v>35.996375720317715</v>
      </c>
      <c r="G17" s="8">
        <f t="shared" si="4"/>
        <v>1.0251673978296115E-2</v>
      </c>
      <c r="H17" s="5"/>
      <c r="I17" s="28">
        <f t="shared" ref="I17:J17" si="13">I9*2*PI()*($C$11*$C$12/$C$13)*SQRT(12*$C$15*(1-$C$14^2)/$C$16)</f>
        <v>36.579669370857211</v>
      </c>
      <c r="J17" s="28">
        <f t="shared" si="13"/>
        <v>36.916975995287672</v>
      </c>
      <c r="K17" s="8">
        <f t="shared" si="6"/>
        <v>9.2211501698041872E-3</v>
      </c>
      <c r="L17" s="5"/>
      <c r="M17" s="28">
        <f t="shared" ref="M17:N17" si="14">M9*2*PI()*($C$11*$C$12/$C$13)*SQRT(12*$C$15*(1-$C$14^2)/$C$16)</f>
        <v>37.133345854373552</v>
      </c>
      <c r="N17" s="28">
        <f t="shared" si="14"/>
        <v>37.477234071475827</v>
      </c>
      <c r="O17" s="8">
        <f t="shared" si="8"/>
        <v>9.2609003899327431E-3</v>
      </c>
    </row>
    <row r="18" spans="3:15" x14ac:dyDescent="0.35">
      <c r="C18" s="8"/>
      <c r="H18" s="5"/>
      <c r="I18" s="5"/>
      <c r="J18" s="5"/>
      <c r="K18" s="7"/>
      <c r="L18" s="5"/>
      <c r="M18" s="5"/>
      <c r="N18" s="5"/>
      <c r="O18" s="7"/>
    </row>
    <row r="19" spans="3:15" x14ac:dyDescent="0.35">
      <c r="C19" s="8"/>
      <c r="H19" s="5"/>
      <c r="I19" s="5"/>
      <c r="J19" s="5"/>
      <c r="K19" s="7"/>
      <c r="L19" s="5"/>
      <c r="M19" s="5"/>
      <c r="N19" s="5"/>
      <c r="O19" s="7"/>
    </row>
    <row r="20" spans="3:15" x14ac:dyDescent="0.35">
      <c r="C20" s="8"/>
    </row>
    <row r="21" spans="3:15" x14ac:dyDescent="0.35">
      <c r="C21" s="8"/>
    </row>
    <row r="22" spans="3:15" x14ac:dyDescent="0.35">
      <c r="C22" s="8"/>
    </row>
  </sheetData>
  <mergeCells count="5">
    <mergeCell ref="M3:M4"/>
    <mergeCell ref="D2:E2"/>
    <mergeCell ref="I3:I4"/>
    <mergeCell ref="E3:E4"/>
    <mergeCell ref="D3:D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0851-E3BC-4FF7-962B-1D568BB64607}">
  <dimension ref="B2:O23"/>
  <sheetViews>
    <sheetView zoomScale="90" zoomScaleNormal="90" workbookViewId="0">
      <selection activeCell="J16" sqref="J16"/>
    </sheetView>
  </sheetViews>
  <sheetFormatPr defaultRowHeight="14.5" x14ac:dyDescent="0.35"/>
  <cols>
    <col min="1" max="2" width="8.7265625" style="3"/>
    <col min="3" max="3" width="8.6328125" style="3" customWidth="1"/>
    <col min="4" max="4" width="8.81640625" style="3" bestFit="1" customWidth="1"/>
    <col min="5" max="5" width="10.26953125" style="3" bestFit="1" customWidth="1"/>
    <col min="6" max="6" width="7" style="3" bestFit="1" customWidth="1"/>
    <col min="7" max="7" width="8.36328125" style="3" bestFit="1" customWidth="1"/>
    <col min="8" max="8" width="6.26953125" style="3" customWidth="1"/>
    <col min="9" max="9" width="8.6328125" style="3" bestFit="1" customWidth="1"/>
    <col min="10" max="10" width="7" style="3" bestFit="1" customWidth="1"/>
    <col min="11" max="11" width="9.90625" style="3" bestFit="1" customWidth="1"/>
    <col min="12" max="12" width="7" style="3" customWidth="1"/>
    <col min="13" max="14" width="8.7265625" style="3"/>
    <col min="15" max="15" width="9.90625" style="3" bestFit="1" customWidth="1"/>
    <col min="16" max="16384" width="8.7265625" style="3"/>
  </cols>
  <sheetData>
    <row r="2" spans="2:15" x14ac:dyDescent="0.35">
      <c r="B2" s="3" t="s">
        <v>38</v>
      </c>
      <c r="D2" s="1"/>
      <c r="E2" s="1"/>
      <c r="F2" s="1" t="s">
        <v>6</v>
      </c>
      <c r="G2" s="1"/>
      <c r="I2" s="33"/>
      <c r="J2" s="33"/>
    </row>
    <row r="3" spans="2:15" x14ac:dyDescent="0.35">
      <c r="B3" s="3" t="s">
        <v>39</v>
      </c>
      <c r="D3" s="1"/>
      <c r="E3" s="1" t="s">
        <v>7</v>
      </c>
      <c r="F3" s="1" t="s">
        <v>12</v>
      </c>
      <c r="G3" s="1" t="s">
        <v>5</v>
      </c>
      <c r="I3" s="1" t="s">
        <v>4</v>
      </c>
      <c r="J3" s="1" t="s">
        <v>12</v>
      </c>
      <c r="K3" s="1" t="s">
        <v>5</v>
      </c>
      <c r="M3" s="1" t="s">
        <v>4</v>
      </c>
      <c r="N3" s="1" t="s">
        <v>12</v>
      </c>
      <c r="O3" s="1" t="s">
        <v>5</v>
      </c>
    </row>
    <row r="4" spans="2:15" ht="14.5" customHeight="1" x14ac:dyDescent="0.35">
      <c r="B4" s="3" t="s">
        <v>27</v>
      </c>
      <c r="D4" s="32" t="s">
        <v>3</v>
      </c>
      <c r="E4" s="29" t="s">
        <v>10</v>
      </c>
      <c r="F4" s="1" t="s">
        <v>1</v>
      </c>
      <c r="G4" s="1" t="s">
        <v>17</v>
      </c>
      <c r="I4" s="29" t="s">
        <v>10</v>
      </c>
      <c r="J4" s="1" t="s">
        <v>1</v>
      </c>
      <c r="K4" s="1" t="s">
        <v>17</v>
      </c>
      <c r="M4" s="29" t="s">
        <v>10</v>
      </c>
      <c r="N4" s="1" t="s">
        <v>1</v>
      </c>
      <c r="O4" s="1" t="s">
        <v>14</v>
      </c>
    </row>
    <row r="5" spans="2:15" x14ac:dyDescent="0.35">
      <c r="B5" s="3" t="s">
        <v>42</v>
      </c>
      <c r="D5" s="32"/>
      <c r="E5" s="29"/>
      <c r="F5" s="1" t="s">
        <v>43</v>
      </c>
      <c r="G5" s="1" t="s">
        <v>2</v>
      </c>
      <c r="I5" s="29"/>
      <c r="J5" s="1" t="s">
        <v>43</v>
      </c>
      <c r="K5" s="1" t="s">
        <v>2</v>
      </c>
      <c r="M5" s="29"/>
      <c r="N5" s="1" t="s">
        <v>43</v>
      </c>
      <c r="O5" s="1" t="s">
        <v>2</v>
      </c>
    </row>
    <row r="6" spans="2:15" x14ac:dyDescent="0.35">
      <c r="D6" s="1">
        <v>1</v>
      </c>
      <c r="E6" s="1">
        <v>27.821999999999999</v>
      </c>
      <c r="F6" s="1">
        <v>28</v>
      </c>
      <c r="G6" s="6">
        <f>(F6-E6)/E6</f>
        <v>6.3978146790310128E-3</v>
      </c>
      <c r="I6" s="1">
        <v>76.683999999999997</v>
      </c>
      <c r="J6" s="1">
        <v>76.69</v>
      </c>
      <c r="K6" s="6">
        <f>(J6-I6)/I6</f>
        <v>7.8243179802830153E-5</v>
      </c>
      <c r="M6" s="1">
        <v>101.86</v>
      </c>
      <c r="N6" s="1">
        <v>101.86</v>
      </c>
      <c r="O6" s="6">
        <f>(N6-M6)/M6</f>
        <v>0</v>
      </c>
    </row>
    <row r="7" spans="2:15" x14ac:dyDescent="0.35">
      <c r="D7" s="1">
        <v>2</v>
      </c>
      <c r="E7" s="1">
        <v>167.93</v>
      </c>
      <c r="F7" s="1">
        <v>169.28</v>
      </c>
      <c r="G7" s="6">
        <f t="shared" ref="G7:G12" si="0">(F7-E7)/E7</f>
        <v>8.0390638956707814E-3</v>
      </c>
      <c r="I7" s="1">
        <v>230.47</v>
      </c>
      <c r="J7" s="1">
        <v>231.81</v>
      </c>
      <c r="K7" s="6">
        <f t="shared" ref="K7:K12" si="1">(J7-I7)/I7</f>
        <v>5.8142057534603352E-3</v>
      </c>
      <c r="M7" s="1">
        <v>232.76</v>
      </c>
      <c r="N7" s="1">
        <v>234.06</v>
      </c>
      <c r="O7" s="6">
        <f t="shared" ref="O7:O12" si="2">(N7-M7)/M7</f>
        <v>5.5851520879876757E-3</v>
      </c>
    </row>
    <row r="8" spans="2:15" x14ac:dyDescent="0.35">
      <c r="D8" s="1">
        <v>3</v>
      </c>
      <c r="E8" s="1">
        <v>204.91</v>
      </c>
      <c r="F8" s="1">
        <v>206.13</v>
      </c>
      <c r="G8" s="6">
        <f t="shared" si="0"/>
        <v>5.9538333902688931E-3</v>
      </c>
      <c r="I8" s="1">
        <v>235.32</v>
      </c>
      <c r="J8" s="1">
        <v>236.14</v>
      </c>
      <c r="K8" s="6">
        <f t="shared" si="1"/>
        <v>3.484616692163833E-3</v>
      </c>
      <c r="M8" s="1">
        <v>283.27999999999997</v>
      </c>
      <c r="N8" s="1">
        <v>283.91000000000003</v>
      </c>
      <c r="O8" s="6">
        <f t="shared" si="2"/>
        <v>2.2239480372777901E-3</v>
      </c>
    </row>
    <row r="9" spans="2:15" x14ac:dyDescent="0.35">
      <c r="D9" s="1">
        <v>4</v>
      </c>
      <c r="E9" s="1">
        <v>445.14</v>
      </c>
      <c r="F9" s="1">
        <v>449.1</v>
      </c>
      <c r="G9" s="6">
        <f t="shared" si="0"/>
        <v>8.8960776384958366E-3</v>
      </c>
      <c r="I9" s="1">
        <v>477.01</v>
      </c>
      <c r="J9" s="1">
        <v>478.96</v>
      </c>
      <c r="K9" s="6">
        <f t="shared" si="1"/>
        <v>4.0879646129011729E-3</v>
      </c>
      <c r="M9" s="1">
        <v>472.8</v>
      </c>
      <c r="N9" s="1">
        <v>475.07</v>
      </c>
      <c r="O9" s="6">
        <f t="shared" si="2"/>
        <v>4.8011844331640897E-3</v>
      </c>
    </row>
    <row r="10" spans="2:15" x14ac:dyDescent="0.35">
      <c r="D10" s="1">
        <v>5</v>
      </c>
      <c r="E10" s="1">
        <v>493.01</v>
      </c>
      <c r="F10" s="1">
        <v>495.17</v>
      </c>
      <c r="G10" s="6">
        <f t="shared" si="0"/>
        <v>4.3812498732277742E-3</v>
      </c>
      <c r="I10" s="1">
        <v>547.84</v>
      </c>
      <c r="J10" s="1">
        <v>550.21</v>
      </c>
      <c r="K10" s="6">
        <f t="shared" si="1"/>
        <v>4.3260806074766432E-3</v>
      </c>
      <c r="M10" s="1">
        <v>553.26</v>
      </c>
      <c r="N10" s="1">
        <v>555.49</v>
      </c>
      <c r="O10" s="6">
        <f t="shared" si="2"/>
        <v>4.0306546650761277E-3</v>
      </c>
    </row>
    <row r="11" spans="2:15" x14ac:dyDescent="0.35">
      <c r="D11" s="1">
        <v>6</v>
      </c>
      <c r="E11" s="1">
        <v>495.18</v>
      </c>
      <c r="F11" s="1">
        <v>509.31</v>
      </c>
      <c r="G11" s="6">
        <f t="shared" si="0"/>
        <v>2.8535078153398754E-2</v>
      </c>
      <c r="I11" s="1">
        <v>556.75</v>
      </c>
      <c r="J11" s="1">
        <v>568.04</v>
      </c>
      <c r="K11" s="6">
        <f t="shared" si="1"/>
        <v>2.0278401436910575E-2</v>
      </c>
      <c r="M11" s="1">
        <v>620.67999999999995</v>
      </c>
      <c r="N11" s="1">
        <v>629.35</v>
      </c>
      <c r="O11" s="6">
        <f t="shared" si="2"/>
        <v>1.3968550621898682E-2</v>
      </c>
    </row>
    <row r="12" spans="2:15" x14ac:dyDescent="0.35">
      <c r="D12" s="1">
        <v>7</v>
      </c>
      <c r="E12" s="1">
        <v>764.39</v>
      </c>
      <c r="F12" s="1">
        <v>771.67</v>
      </c>
      <c r="G12" s="6">
        <f t="shared" si="0"/>
        <v>9.5239341174007675E-3</v>
      </c>
      <c r="I12" s="1">
        <v>804.4</v>
      </c>
      <c r="J12" s="1">
        <v>812.9</v>
      </c>
      <c r="K12" s="6">
        <f t="shared" si="1"/>
        <v>1.0566882148184983E-2</v>
      </c>
      <c r="M12" s="1">
        <v>809.37</v>
      </c>
      <c r="N12" s="1">
        <v>817.1</v>
      </c>
      <c r="O12" s="6">
        <f t="shared" si="2"/>
        <v>9.5506381506604131E-3</v>
      </c>
    </row>
    <row r="15" spans="2:15" ht="14.5" customHeight="1" x14ac:dyDescent="0.35">
      <c r="E15" s="9"/>
    </row>
    <row r="17" spans="7:7" x14ac:dyDescent="0.35">
      <c r="G17" s="10"/>
    </row>
    <row r="18" spans="7:7" x14ac:dyDescent="0.35">
      <c r="G18" s="10"/>
    </row>
    <row r="19" spans="7:7" x14ac:dyDescent="0.35">
      <c r="G19" s="10"/>
    </row>
    <row r="20" spans="7:7" x14ac:dyDescent="0.35">
      <c r="G20" s="10"/>
    </row>
    <row r="21" spans="7:7" x14ac:dyDescent="0.35">
      <c r="G21" s="10"/>
    </row>
    <row r="22" spans="7:7" x14ac:dyDescent="0.35">
      <c r="G22" s="10"/>
    </row>
    <row r="23" spans="7:7" x14ac:dyDescent="0.35">
      <c r="G23" s="10"/>
    </row>
  </sheetData>
  <mergeCells count="5">
    <mergeCell ref="M4:M5"/>
    <mergeCell ref="I2:J2"/>
    <mergeCell ref="D4:D5"/>
    <mergeCell ref="E4:E5"/>
    <mergeCell ref="I4:I5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2146-B9A0-4055-BEFF-4A2CA3BF8CAE}">
  <dimension ref="B2:O23"/>
  <sheetViews>
    <sheetView zoomScale="90" zoomScaleNormal="90" workbookViewId="0">
      <selection activeCell="K15" sqref="K15"/>
    </sheetView>
  </sheetViews>
  <sheetFormatPr defaultRowHeight="14.5" x14ac:dyDescent="0.35"/>
  <cols>
    <col min="1" max="1" width="8.7265625" style="4"/>
    <col min="2" max="2" width="9.54296875" style="4" customWidth="1"/>
    <col min="3" max="3" width="8.7265625" style="4"/>
    <col min="4" max="4" width="6.6328125" style="4" bestFit="1" customWidth="1"/>
    <col min="5" max="5" width="10.26953125" style="4" bestFit="1" customWidth="1"/>
    <col min="6" max="6" width="8" style="4" bestFit="1" customWidth="1"/>
    <col min="7" max="7" width="8.36328125" style="4" bestFit="1" customWidth="1"/>
    <col min="8" max="8" width="8.7265625" style="4"/>
    <col min="9" max="9" width="8.6328125" style="4" bestFit="1" customWidth="1"/>
    <col min="10" max="10" width="8" style="4" bestFit="1" customWidth="1"/>
    <col min="11" max="11" width="9.90625" style="4" bestFit="1" customWidth="1"/>
    <col min="12" max="14" width="8.7265625" style="4"/>
    <col min="15" max="15" width="9.90625" style="4" bestFit="1" customWidth="1"/>
    <col min="16" max="16384" width="8.7265625" style="4"/>
  </cols>
  <sheetData>
    <row r="2" spans="2:15" x14ac:dyDescent="0.35">
      <c r="B2" s="4" t="s">
        <v>24</v>
      </c>
      <c r="D2" s="34" t="s">
        <v>23</v>
      </c>
      <c r="E2" s="35"/>
      <c r="F2" s="1" t="s">
        <v>6</v>
      </c>
      <c r="G2" s="1"/>
      <c r="H2" s="3"/>
      <c r="I2" s="33"/>
      <c r="J2" s="33"/>
      <c r="K2" s="3"/>
    </row>
    <row r="3" spans="2:15" x14ac:dyDescent="0.35">
      <c r="B3" s="4" t="s">
        <v>25</v>
      </c>
      <c r="D3" s="1"/>
      <c r="E3" s="1" t="s">
        <v>7</v>
      </c>
      <c r="F3" s="1" t="s">
        <v>12</v>
      </c>
      <c r="G3" s="1" t="s">
        <v>5</v>
      </c>
      <c r="H3" s="3"/>
      <c r="I3" s="1" t="s">
        <v>4</v>
      </c>
      <c r="J3" s="1" t="s">
        <v>12</v>
      </c>
      <c r="K3" s="1" t="s">
        <v>5</v>
      </c>
      <c r="M3" s="1" t="s">
        <v>4</v>
      </c>
      <c r="N3" s="1" t="s">
        <v>12</v>
      </c>
      <c r="O3" s="1" t="s">
        <v>5</v>
      </c>
    </row>
    <row r="4" spans="2:15" ht="14.5" customHeight="1" x14ac:dyDescent="0.35">
      <c r="B4" s="4" t="s">
        <v>26</v>
      </c>
      <c r="D4" s="32" t="s">
        <v>3</v>
      </c>
      <c r="E4" s="29" t="s">
        <v>10</v>
      </c>
      <c r="F4" s="1" t="s">
        <v>1</v>
      </c>
      <c r="G4" s="1" t="s">
        <v>17</v>
      </c>
      <c r="H4" s="3"/>
      <c r="I4" s="29" t="s">
        <v>10</v>
      </c>
      <c r="J4" s="1" t="s">
        <v>1</v>
      </c>
      <c r="K4" s="1" t="s">
        <v>17</v>
      </c>
      <c r="M4" s="29" t="s">
        <v>10</v>
      </c>
      <c r="N4" s="1" t="s">
        <v>1</v>
      </c>
      <c r="O4" s="1" t="s">
        <v>14</v>
      </c>
    </row>
    <row r="5" spans="2:15" x14ac:dyDescent="0.35">
      <c r="B5" s="4" t="s">
        <v>27</v>
      </c>
      <c r="D5" s="32"/>
      <c r="E5" s="29"/>
      <c r="F5" s="1" t="s">
        <v>43</v>
      </c>
      <c r="G5" s="1" t="s">
        <v>2</v>
      </c>
      <c r="H5" s="3"/>
      <c r="I5" s="29"/>
      <c r="J5" s="1" t="s">
        <v>43</v>
      </c>
      <c r="K5" s="1" t="s">
        <v>2</v>
      </c>
      <c r="M5" s="29"/>
      <c r="N5" s="1" t="s">
        <v>43</v>
      </c>
      <c r="O5" s="1" t="s">
        <v>2</v>
      </c>
    </row>
    <row r="6" spans="2:15" x14ac:dyDescent="0.35">
      <c r="B6" s="4" t="s">
        <v>42</v>
      </c>
      <c r="D6" s="1">
        <v>1</v>
      </c>
      <c r="E6" s="1">
        <v>183.3</v>
      </c>
      <c r="F6" s="1">
        <v>183.8</v>
      </c>
      <c r="G6" s="11">
        <f>(F6-E6)/E6</f>
        <v>2.7277686852154935E-3</v>
      </c>
      <c r="H6" s="3"/>
      <c r="I6" s="1">
        <v>197.37</v>
      </c>
      <c r="J6" s="4">
        <v>197.76</v>
      </c>
      <c r="K6" s="11">
        <f>(J6-I6)/I6</f>
        <v>1.9759841921263939E-3</v>
      </c>
      <c r="M6" s="1">
        <v>208.79</v>
      </c>
      <c r="N6" s="12">
        <v>209.16</v>
      </c>
      <c r="O6" s="11">
        <f>(N6-M6)/M6</f>
        <v>1.772115522774101E-3</v>
      </c>
    </row>
    <row r="7" spans="2:15" x14ac:dyDescent="0.35">
      <c r="D7" s="1">
        <v>2</v>
      </c>
      <c r="E7" s="1">
        <v>703.65</v>
      </c>
      <c r="F7" s="1">
        <v>702.49</v>
      </c>
      <c r="G7" s="11">
        <f t="shared" ref="G7:G12" si="0">(F7-E7)/E7</f>
        <v>-1.6485468627868518E-3</v>
      </c>
      <c r="H7" s="3"/>
      <c r="I7" s="1">
        <v>708.38</v>
      </c>
      <c r="J7" s="4">
        <v>707.06</v>
      </c>
      <c r="K7" s="11">
        <f t="shared" ref="K7:K12" si="1">(J7-I7)/I7</f>
        <v>-1.8634066461504419E-3</v>
      </c>
      <c r="M7" s="1">
        <v>711.64</v>
      </c>
      <c r="N7" s="12">
        <v>710.42</v>
      </c>
      <c r="O7" s="11">
        <f t="shared" ref="O7:O12" si="2">(N7-M7)/M7</f>
        <v>-1.7143499522230725E-3</v>
      </c>
    </row>
    <row r="8" spans="2:15" x14ac:dyDescent="0.35">
      <c r="D8" s="1">
        <v>3</v>
      </c>
      <c r="E8" s="1">
        <v>1015.9</v>
      </c>
      <c r="F8" s="1">
        <v>1016.86</v>
      </c>
      <c r="G8" s="11">
        <f t="shared" si="0"/>
        <v>9.4497489910427834E-4</v>
      </c>
      <c r="H8" s="3"/>
      <c r="I8" s="1">
        <v>1026</v>
      </c>
      <c r="J8" s="4">
        <v>1027.06</v>
      </c>
      <c r="K8" s="11">
        <f t="shared" si="1"/>
        <v>1.033138401559401E-3</v>
      </c>
      <c r="M8" s="1">
        <v>1034.5</v>
      </c>
      <c r="N8" s="12">
        <v>1035.72</v>
      </c>
      <c r="O8" s="11">
        <f t="shared" si="2"/>
        <v>1.1793136781053913E-3</v>
      </c>
    </row>
    <row r="9" spans="2:15" x14ac:dyDescent="0.35">
      <c r="D9" s="1">
        <v>4</v>
      </c>
      <c r="E9" s="1">
        <v>1333.9</v>
      </c>
      <c r="F9" s="1">
        <v>1337.23</v>
      </c>
      <c r="G9" s="11">
        <f t="shared" si="0"/>
        <v>2.4964390134192419E-3</v>
      </c>
      <c r="H9" s="3"/>
      <c r="I9" s="1">
        <v>1338.3</v>
      </c>
      <c r="J9" s="4">
        <v>1342.26</v>
      </c>
      <c r="K9" s="11">
        <f t="shared" si="1"/>
        <v>2.95897780766647E-3</v>
      </c>
      <c r="M9" s="1">
        <v>1342.2</v>
      </c>
      <c r="N9" s="12">
        <v>1346.53</v>
      </c>
      <c r="O9" s="11">
        <f t="shared" si="2"/>
        <v>3.2260467888540656E-3</v>
      </c>
    </row>
    <row r="10" spans="2:15" x14ac:dyDescent="0.35">
      <c r="D10" s="1">
        <v>5</v>
      </c>
      <c r="E10" s="1">
        <v>2082.4</v>
      </c>
      <c r="F10" s="1">
        <v>2076.11</v>
      </c>
      <c r="G10" s="11">
        <f t="shared" si="0"/>
        <v>-3.0205532078370935E-3</v>
      </c>
      <c r="H10" s="3"/>
      <c r="I10" s="1">
        <v>2091.5</v>
      </c>
      <c r="J10" s="4">
        <v>2085.4899999999998</v>
      </c>
      <c r="K10" s="11">
        <f t="shared" si="1"/>
        <v>-2.8735357398996979E-3</v>
      </c>
      <c r="M10" s="1">
        <v>2098.4</v>
      </c>
      <c r="N10" s="12">
        <v>2092.62</v>
      </c>
      <c r="O10" s="11">
        <f t="shared" si="2"/>
        <v>-2.7544796035075293E-3</v>
      </c>
    </row>
    <row r="11" spans="2:15" x14ac:dyDescent="0.35">
      <c r="D11" s="1">
        <v>6</v>
      </c>
      <c r="E11" s="1">
        <v>2695.4</v>
      </c>
      <c r="F11" s="1">
        <v>2729.64</v>
      </c>
      <c r="G11" s="11">
        <f t="shared" si="0"/>
        <v>1.2703123840617267E-2</v>
      </c>
      <c r="H11" s="3"/>
      <c r="I11" s="1">
        <v>2709.8</v>
      </c>
      <c r="J11" s="4">
        <v>2743.96</v>
      </c>
      <c r="K11" s="11">
        <f t="shared" si="1"/>
        <v>1.2606096390877501E-2</v>
      </c>
      <c r="M11" s="1">
        <v>2721.5</v>
      </c>
      <c r="N11" s="12">
        <v>2755.77</v>
      </c>
      <c r="O11" s="11">
        <f t="shared" si="2"/>
        <v>1.2592320411537749E-2</v>
      </c>
    </row>
    <row r="12" spans="2:15" x14ac:dyDescent="0.35">
      <c r="D12" s="1">
        <v>7</v>
      </c>
      <c r="E12" s="1">
        <v>3483.6</v>
      </c>
      <c r="F12" s="1">
        <v>3466.62</v>
      </c>
      <c r="G12" s="11">
        <f t="shared" si="0"/>
        <v>-4.8742679986221206E-3</v>
      </c>
      <c r="H12" s="3"/>
      <c r="I12" s="1">
        <v>3488.1</v>
      </c>
      <c r="J12" s="4">
        <v>3470.33</v>
      </c>
      <c r="K12" s="11">
        <f t="shared" si="1"/>
        <v>-5.0944640348613811E-3</v>
      </c>
      <c r="M12" s="1">
        <v>3491</v>
      </c>
      <c r="N12" s="12">
        <v>3472.82</v>
      </c>
      <c r="O12" s="11">
        <f t="shared" si="2"/>
        <v>-5.2076768834144471E-3</v>
      </c>
    </row>
    <row r="13" spans="2:15" x14ac:dyDescent="0.35">
      <c r="D13" s="3"/>
      <c r="E13" s="3"/>
      <c r="F13" s="3"/>
      <c r="G13" s="3"/>
      <c r="H13" s="3"/>
      <c r="I13" s="3"/>
      <c r="J13" s="3"/>
      <c r="K13" s="3"/>
    </row>
    <row r="14" spans="2:15" x14ac:dyDescent="0.35">
      <c r="D14" s="3"/>
      <c r="E14" s="3"/>
      <c r="F14" s="3"/>
      <c r="G14" s="3"/>
      <c r="H14" s="3"/>
    </row>
    <row r="15" spans="2:15" ht="14.5" customHeight="1" x14ac:dyDescent="0.35">
      <c r="D15" s="3"/>
      <c r="E15" s="9"/>
      <c r="F15" s="3"/>
      <c r="G15" s="3"/>
      <c r="H15" s="3"/>
    </row>
    <row r="16" spans="2:15" x14ac:dyDescent="0.35">
      <c r="D16" s="3"/>
      <c r="E16" s="3"/>
      <c r="F16" s="3"/>
      <c r="G16" s="3"/>
      <c r="H16" s="3"/>
    </row>
    <row r="17" spans="4:8" x14ac:dyDescent="0.35">
      <c r="D17" s="3"/>
      <c r="E17" s="3"/>
      <c r="F17" s="3"/>
      <c r="G17" s="10"/>
      <c r="H17" s="3"/>
    </row>
    <row r="18" spans="4:8" x14ac:dyDescent="0.35">
      <c r="D18" s="3"/>
      <c r="E18" s="3"/>
      <c r="F18" s="3"/>
      <c r="G18" s="10"/>
      <c r="H18" s="3"/>
    </row>
    <row r="19" spans="4:8" x14ac:dyDescent="0.35">
      <c r="D19" s="3"/>
      <c r="E19" s="3"/>
      <c r="F19" s="3"/>
      <c r="G19" s="10"/>
      <c r="H19" s="3"/>
    </row>
    <row r="20" spans="4:8" x14ac:dyDescent="0.35">
      <c r="D20" s="3"/>
      <c r="E20" s="3"/>
      <c r="F20" s="3"/>
      <c r="G20" s="10"/>
      <c r="H20" s="3"/>
    </row>
    <row r="21" spans="4:8" x14ac:dyDescent="0.35">
      <c r="D21" s="3"/>
      <c r="E21" s="3"/>
      <c r="F21" s="3"/>
      <c r="G21" s="10"/>
      <c r="H21" s="3"/>
    </row>
    <row r="22" spans="4:8" x14ac:dyDescent="0.35">
      <c r="D22" s="3"/>
      <c r="E22" s="3"/>
      <c r="F22" s="3"/>
      <c r="G22" s="10"/>
      <c r="H22" s="3"/>
    </row>
    <row r="23" spans="4:8" x14ac:dyDescent="0.35">
      <c r="D23" s="3"/>
      <c r="E23" s="3"/>
      <c r="F23" s="3"/>
      <c r="G23" s="10"/>
      <c r="H23" s="3"/>
    </row>
  </sheetData>
  <mergeCells count="6">
    <mergeCell ref="M4:M5"/>
    <mergeCell ref="D2:E2"/>
    <mergeCell ref="I2:J2"/>
    <mergeCell ref="D4:D5"/>
    <mergeCell ref="E4:E5"/>
    <mergeCell ref="I4:I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D386-EF03-4539-BA04-5B4C2A071D38}">
  <dimension ref="B2:O23"/>
  <sheetViews>
    <sheetView zoomScale="90" zoomScaleNormal="90" workbookViewId="0">
      <selection activeCell="H18" sqref="H18"/>
    </sheetView>
  </sheetViews>
  <sheetFormatPr defaultRowHeight="14.5" x14ac:dyDescent="0.35"/>
  <cols>
    <col min="1" max="2" width="8.7265625" style="4"/>
    <col min="3" max="3" width="6.90625" style="4" customWidth="1"/>
    <col min="4" max="4" width="7.453125" style="4" customWidth="1"/>
    <col min="5" max="5" width="9.26953125" style="4" bestFit="1" customWidth="1"/>
    <col min="6" max="8" width="8.7265625" style="4"/>
    <col min="9" max="9" width="8.6328125" style="4" bestFit="1" customWidth="1"/>
    <col min="10" max="10" width="8.7265625" style="4"/>
    <col min="11" max="11" width="8.36328125" style="4" bestFit="1" customWidth="1"/>
    <col min="12" max="14" width="8.7265625" style="4"/>
    <col min="15" max="15" width="9.90625" style="4" bestFit="1" customWidth="1"/>
    <col min="16" max="16384" width="8.7265625" style="4"/>
  </cols>
  <sheetData>
    <row r="2" spans="2:15" x14ac:dyDescent="0.35">
      <c r="B2" s="4" t="s">
        <v>24</v>
      </c>
      <c r="D2" s="34" t="s">
        <v>23</v>
      </c>
      <c r="E2" s="35"/>
      <c r="F2" s="1" t="s">
        <v>6</v>
      </c>
      <c r="G2" s="1"/>
      <c r="H2" s="3"/>
      <c r="I2" s="33"/>
      <c r="J2" s="33"/>
      <c r="K2" s="3"/>
    </row>
    <row r="3" spans="2:15" x14ac:dyDescent="0.35">
      <c r="B3" s="4" t="s">
        <v>25</v>
      </c>
      <c r="D3" s="1"/>
      <c r="E3" s="1" t="s">
        <v>9</v>
      </c>
      <c r="F3" s="1" t="s">
        <v>12</v>
      </c>
      <c r="G3" s="1" t="s">
        <v>5</v>
      </c>
      <c r="H3" s="3"/>
      <c r="I3" s="1" t="s">
        <v>4</v>
      </c>
      <c r="J3" s="1" t="s">
        <v>12</v>
      </c>
      <c r="K3" s="1" t="s">
        <v>5</v>
      </c>
      <c r="M3" s="1" t="s">
        <v>4</v>
      </c>
      <c r="N3" s="1" t="s">
        <v>12</v>
      </c>
      <c r="O3" s="1" t="s">
        <v>5</v>
      </c>
    </row>
    <row r="4" spans="2:15" ht="14.5" customHeight="1" x14ac:dyDescent="0.35">
      <c r="B4" s="4" t="s">
        <v>26</v>
      </c>
      <c r="D4" s="32" t="s">
        <v>3</v>
      </c>
      <c r="E4" s="29" t="s">
        <v>10</v>
      </c>
      <c r="F4" s="1" t="s">
        <v>1</v>
      </c>
      <c r="G4" s="1" t="s">
        <v>17</v>
      </c>
      <c r="H4" s="3"/>
      <c r="I4" s="29" t="s">
        <v>10</v>
      </c>
      <c r="J4" s="1" t="s">
        <v>1</v>
      </c>
      <c r="K4" s="1" t="s">
        <v>17</v>
      </c>
      <c r="M4" s="29" t="s">
        <v>10</v>
      </c>
      <c r="N4" s="1" t="s">
        <v>1</v>
      </c>
      <c r="O4" s="1" t="s">
        <v>14</v>
      </c>
    </row>
    <row r="5" spans="2:15" x14ac:dyDescent="0.35">
      <c r="B5" s="4" t="s">
        <v>31</v>
      </c>
      <c r="D5" s="32"/>
      <c r="E5" s="29"/>
      <c r="F5" s="1" t="s">
        <v>43</v>
      </c>
      <c r="G5" s="1" t="s">
        <v>2</v>
      </c>
      <c r="H5" s="3"/>
      <c r="I5" s="29"/>
      <c r="J5" s="1" t="s">
        <v>43</v>
      </c>
      <c r="K5" s="1" t="s">
        <v>2</v>
      </c>
      <c r="M5" s="29"/>
      <c r="N5" s="1" t="s">
        <v>43</v>
      </c>
      <c r="O5" s="1" t="s">
        <v>2</v>
      </c>
    </row>
    <row r="6" spans="2:15" x14ac:dyDescent="0.35">
      <c r="D6" s="1">
        <v>1</v>
      </c>
      <c r="E6" s="1">
        <v>183.3</v>
      </c>
      <c r="F6" s="1">
        <v>183.72</v>
      </c>
      <c r="G6" s="11">
        <f>(F6-E6)/E6</f>
        <v>2.2913256955809464E-3</v>
      </c>
      <c r="H6" s="3"/>
      <c r="I6" s="1">
        <v>197.37</v>
      </c>
      <c r="J6" s="4">
        <v>197.72</v>
      </c>
      <c r="K6" s="11">
        <f>(J6-I6)/I6</f>
        <v>1.7733191467801303E-3</v>
      </c>
      <c r="M6" s="1">
        <v>208.79</v>
      </c>
      <c r="N6" s="4">
        <v>209.11</v>
      </c>
      <c r="O6" s="11">
        <f>(N6-M6)/M6</f>
        <v>1.5326404521290369E-3</v>
      </c>
    </row>
    <row r="7" spans="2:15" x14ac:dyDescent="0.35">
      <c r="D7" s="1">
        <v>2</v>
      </c>
      <c r="E7" s="1">
        <v>703.65</v>
      </c>
      <c r="F7" s="1">
        <v>701.93</v>
      </c>
      <c r="G7" s="11">
        <f t="shared" ref="G7:G12" si="0">(F7-E7)/E7</f>
        <v>-2.4443970724081963E-3</v>
      </c>
      <c r="H7" s="3"/>
      <c r="I7" s="1">
        <v>708.38</v>
      </c>
      <c r="J7" s="4">
        <v>706.26</v>
      </c>
      <c r="K7" s="11">
        <f t="shared" ref="K7:K12" si="1">(J7-I7)/I7</f>
        <v>-2.9927440074536331E-3</v>
      </c>
      <c r="M7" s="1">
        <v>711.64</v>
      </c>
      <c r="N7" s="4">
        <v>709.59</v>
      </c>
      <c r="O7" s="11">
        <f t="shared" ref="O7:O12" si="2">(N7-M7)/M7</f>
        <v>-2.8806700016861821E-3</v>
      </c>
    </row>
    <row r="8" spans="2:15" x14ac:dyDescent="0.35">
      <c r="D8" s="1">
        <v>3</v>
      </c>
      <c r="E8" s="1">
        <v>1015.9</v>
      </c>
      <c r="F8" s="1">
        <v>1016.31</v>
      </c>
      <c r="G8" s="11">
        <f t="shared" si="0"/>
        <v>4.0358302982573894E-4</v>
      </c>
      <c r="H8" s="3"/>
      <c r="I8" s="1">
        <v>1026</v>
      </c>
      <c r="J8" s="4">
        <v>1026.5999999999999</v>
      </c>
      <c r="K8" s="11">
        <f t="shared" si="1"/>
        <v>5.8479532163733822E-4</v>
      </c>
      <c r="M8" s="1">
        <v>1034.5</v>
      </c>
      <c r="N8" s="4">
        <v>1035.21</v>
      </c>
      <c r="O8" s="11">
        <f t="shared" si="2"/>
        <v>6.863218946351246E-4</v>
      </c>
    </row>
    <row r="9" spans="2:15" x14ac:dyDescent="0.35">
      <c r="D9" s="1">
        <v>4</v>
      </c>
      <c r="E9" s="1">
        <v>1333.9</v>
      </c>
      <c r="F9" s="1">
        <v>1335.92</v>
      </c>
      <c r="G9" s="11">
        <f t="shared" si="0"/>
        <v>1.5143563985306108E-3</v>
      </c>
      <c r="H9" s="3"/>
      <c r="I9" s="1">
        <v>1338.3</v>
      </c>
      <c r="J9" s="4">
        <v>1340.93</v>
      </c>
      <c r="K9" s="11">
        <f t="shared" si="1"/>
        <v>1.9651797055967339E-3</v>
      </c>
      <c r="M9" s="1">
        <v>1342.2</v>
      </c>
      <c r="N9" s="4">
        <v>1345.18</v>
      </c>
      <c r="O9" s="11">
        <f t="shared" si="2"/>
        <v>2.2202354343615095E-3</v>
      </c>
    </row>
    <row r="10" spans="2:15" x14ac:dyDescent="0.35">
      <c r="D10" s="1">
        <v>5</v>
      </c>
      <c r="E10" s="1">
        <v>2082.4</v>
      </c>
      <c r="F10" s="1">
        <v>2074.42</v>
      </c>
      <c r="G10" s="11">
        <f t="shared" si="0"/>
        <v>-3.8321167883211766E-3</v>
      </c>
      <c r="H10" s="3"/>
      <c r="I10" s="1">
        <v>2091.5</v>
      </c>
      <c r="J10" s="4">
        <v>2083.31</v>
      </c>
      <c r="K10" s="11">
        <f t="shared" si="1"/>
        <v>-3.9158498685154452E-3</v>
      </c>
      <c r="M10" s="1">
        <v>2098.4</v>
      </c>
      <c r="N10" s="4">
        <v>2090.2800000000002</v>
      </c>
      <c r="O10" s="11">
        <f t="shared" si="2"/>
        <v>-3.8696149447197343E-3</v>
      </c>
    </row>
    <row r="11" spans="2:15" x14ac:dyDescent="0.35">
      <c r="D11" s="1">
        <v>6</v>
      </c>
      <c r="E11" s="1">
        <v>2695.4</v>
      </c>
      <c r="F11" s="1">
        <v>2722.87</v>
      </c>
      <c r="G11" s="11">
        <f t="shared" si="0"/>
        <v>1.0191437263485864E-2</v>
      </c>
      <c r="H11" s="3"/>
      <c r="I11" s="1">
        <v>2709.8</v>
      </c>
      <c r="J11" s="4">
        <v>2736.63</v>
      </c>
      <c r="K11" s="11">
        <f t="shared" si="1"/>
        <v>9.9010997121558517E-3</v>
      </c>
      <c r="M11" s="1">
        <v>2721.5</v>
      </c>
      <c r="N11" s="4">
        <v>2748.15</v>
      </c>
      <c r="O11" s="11">
        <f t="shared" si="2"/>
        <v>9.7923939004225941E-3</v>
      </c>
    </row>
    <row r="12" spans="2:15" x14ac:dyDescent="0.35">
      <c r="D12" s="1">
        <v>7</v>
      </c>
      <c r="E12" s="1">
        <v>3483.6</v>
      </c>
      <c r="F12" s="1">
        <v>3465.22</v>
      </c>
      <c r="G12" s="11">
        <f t="shared" si="0"/>
        <v>-5.2761511080491761E-3</v>
      </c>
      <c r="H12" s="3"/>
      <c r="I12" s="1">
        <v>3488.1</v>
      </c>
      <c r="J12" s="4">
        <v>3468.61</v>
      </c>
      <c r="K12" s="11">
        <f t="shared" si="1"/>
        <v>-5.5875691637280421E-3</v>
      </c>
      <c r="M12" s="1">
        <v>3491</v>
      </c>
      <c r="N12" s="4">
        <v>3471.03</v>
      </c>
      <c r="O12" s="11">
        <f t="shared" si="2"/>
        <v>-5.7204239472929816E-3</v>
      </c>
    </row>
    <row r="13" spans="2:15" x14ac:dyDescent="0.35">
      <c r="D13" s="3"/>
      <c r="E13" s="3"/>
      <c r="F13" s="3"/>
      <c r="G13" s="3"/>
      <c r="H13" s="3"/>
      <c r="I13" s="3"/>
      <c r="J13" s="3"/>
      <c r="K13" s="3"/>
    </row>
    <row r="14" spans="2:15" x14ac:dyDescent="0.35">
      <c r="D14" s="3"/>
      <c r="E14" s="3"/>
      <c r="F14" s="3"/>
      <c r="G14" s="3"/>
      <c r="H14" s="3"/>
    </row>
    <row r="15" spans="2:15" ht="14.5" customHeight="1" x14ac:dyDescent="0.35">
      <c r="D15" s="3"/>
      <c r="E15" s="9"/>
      <c r="F15" s="3"/>
      <c r="G15" s="3"/>
      <c r="H15" s="3"/>
    </row>
    <row r="16" spans="2:15" x14ac:dyDescent="0.35">
      <c r="D16" s="3"/>
      <c r="E16" s="3"/>
      <c r="F16" s="3"/>
      <c r="G16" s="3"/>
      <c r="H16" s="3"/>
    </row>
    <row r="17" spans="4:8" x14ac:dyDescent="0.35">
      <c r="D17" s="3"/>
      <c r="E17" s="3"/>
      <c r="F17" s="3"/>
      <c r="G17" s="10"/>
      <c r="H17" s="3"/>
    </row>
    <row r="18" spans="4:8" x14ac:dyDescent="0.35">
      <c r="D18" s="3"/>
      <c r="E18" s="3"/>
      <c r="F18" s="3"/>
      <c r="G18" s="10"/>
      <c r="H18" s="3"/>
    </row>
    <row r="19" spans="4:8" x14ac:dyDescent="0.35">
      <c r="D19" s="3"/>
      <c r="E19" s="3"/>
      <c r="F19" s="3"/>
      <c r="G19" s="10"/>
      <c r="H19" s="3"/>
    </row>
    <row r="20" spans="4:8" x14ac:dyDescent="0.35">
      <c r="D20" s="3"/>
      <c r="E20" s="3"/>
      <c r="F20" s="3"/>
      <c r="G20" s="10"/>
      <c r="H20" s="3"/>
    </row>
    <row r="21" spans="4:8" x14ac:dyDescent="0.35">
      <c r="D21" s="3"/>
      <c r="E21" s="3"/>
      <c r="F21" s="3"/>
      <c r="G21" s="10"/>
      <c r="H21" s="3"/>
    </row>
    <row r="22" spans="4:8" x14ac:dyDescent="0.35">
      <c r="D22" s="3"/>
      <c r="E22" s="3"/>
      <c r="F22" s="3"/>
      <c r="G22" s="10"/>
      <c r="H22" s="3"/>
    </row>
    <row r="23" spans="4:8" x14ac:dyDescent="0.35">
      <c r="D23" s="3"/>
      <c r="E23" s="3"/>
      <c r="F23" s="3"/>
      <c r="G23" s="10"/>
      <c r="H23" s="3"/>
    </row>
  </sheetData>
  <mergeCells count="6">
    <mergeCell ref="M4:M5"/>
    <mergeCell ref="D2:E2"/>
    <mergeCell ref="I2:J2"/>
    <mergeCell ref="D4:D5"/>
    <mergeCell ref="E4:E5"/>
    <mergeCell ref="I4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464A-A9C2-48CB-8F39-155CA4E7240A}">
  <dimension ref="B2:O13"/>
  <sheetViews>
    <sheetView zoomScale="90" zoomScaleNormal="90" workbookViewId="0">
      <selection activeCell="G16" sqref="G16"/>
    </sheetView>
  </sheetViews>
  <sheetFormatPr defaultRowHeight="14.5" x14ac:dyDescent="0.35"/>
  <cols>
    <col min="1" max="4" width="8.7265625" style="4"/>
    <col min="5" max="5" width="9.26953125" style="4" bestFit="1" customWidth="1"/>
    <col min="6" max="10" width="8.7265625" style="4"/>
    <col min="11" max="11" width="9.90625" style="4" bestFit="1" customWidth="1"/>
    <col min="12" max="16384" width="8.7265625" style="4"/>
  </cols>
  <sheetData>
    <row r="2" spans="2:15" x14ac:dyDescent="0.35">
      <c r="B2" s="4" t="s">
        <v>24</v>
      </c>
      <c r="D2" s="34" t="s">
        <v>23</v>
      </c>
      <c r="E2" s="35"/>
      <c r="F2" s="1" t="s">
        <v>6</v>
      </c>
      <c r="G2" s="1"/>
      <c r="H2" s="3"/>
      <c r="I2" s="33"/>
      <c r="J2" s="33"/>
      <c r="K2" s="3"/>
    </row>
    <row r="3" spans="2:15" x14ac:dyDescent="0.35">
      <c r="B3" s="4" t="s">
        <v>26</v>
      </c>
      <c r="D3" s="1"/>
      <c r="E3" s="1" t="s">
        <v>9</v>
      </c>
      <c r="F3" s="1" t="s">
        <v>12</v>
      </c>
      <c r="G3" s="1" t="s">
        <v>5</v>
      </c>
      <c r="H3" s="3"/>
      <c r="I3" s="1" t="s">
        <v>4</v>
      </c>
      <c r="J3" s="1" t="s">
        <v>12</v>
      </c>
      <c r="K3" s="1" t="s">
        <v>5</v>
      </c>
      <c r="M3" s="1" t="s">
        <v>4</v>
      </c>
      <c r="N3" s="1" t="s">
        <v>12</v>
      </c>
      <c r="O3" s="1" t="s">
        <v>5</v>
      </c>
    </row>
    <row r="4" spans="2:15" ht="14.5" customHeight="1" x14ac:dyDescent="0.35">
      <c r="B4" s="4" t="s">
        <v>27</v>
      </c>
      <c r="D4" s="32" t="s">
        <v>3</v>
      </c>
      <c r="E4" s="29" t="s">
        <v>10</v>
      </c>
      <c r="F4" s="1" t="s">
        <v>1</v>
      </c>
      <c r="G4" s="1" t="s">
        <v>17</v>
      </c>
      <c r="H4" s="3"/>
      <c r="I4" s="29" t="s">
        <v>10</v>
      </c>
      <c r="J4" s="1" t="s">
        <v>1</v>
      </c>
      <c r="K4" s="1" t="s">
        <v>17</v>
      </c>
      <c r="M4" s="29" t="s">
        <v>10</v>
      </c>
      <c r="N4" s="1" t="s">
        <v>1</v>
      </c>
      <c r="O4" s="1" t="s">
        <v>14</v>
      </c>
    </row>
    <row r="5" spans="2:15" x14ac:dyDescent="0.35">
      <c r="B5" s="4" t="s">
        <v>34</v>
      </c>
      <c r="D5" s="32"/>
      <c r="E5" s="29"/>
      <c r="F5" s="1" t="s">
        <v>43</v>
      </c>
      <c r="G5" s="1" t="s">
        <v>2</v>
      </c>
      <c r="H5" s="3"/>
      <c r="I5" s="29"/>
      <c r="J5" s="1" t="s">
        <v>43</v>
      </c>
      <c r="K5" s="1" t="s">
        <v>2</v>
      </c>
      <c r="M5" s="29"/>
      <c r="N5" s="1" t="s">
        <v>43</v>
      </c>
      <c r="O5" s="1" t="s">
        <v>2</v>
      </c>
    </row>
    <row r="6" spans="2:15" x14ac:dyDescent="0.35">
      <c r="B6" s="4" t="s">
        <v>33</v>
      </c>
      <c r="D6" s="1">
        <v>1</v>
      </c>
      <c r="E6" s="1">
        <v>207.48</v>
      </c>
      <c r="F6" s="1">
        <v>206</v>
      </c>
      <c r="G6" s="11">
        <f>(F6-E6)/E6</f>
        <v>-7.1332176595334E-3</v>
      </c>
      <c r="H6" s="3"/>
      <c r="I6" s="1">
        <v>221.07</v>
      </c>
      <c r="J6" s="4">
        <v>219.66</v>
      </c>
      <c r="K6" s="11">
        <f>(J6-I6)/I6</f>
        <v>-6.378070294476847E-3</v>
      </c>
      <c r="M6" s="1">
        <v>232.23</v>
      </c>
      <c r="N6" s="12">
        <v>230.9</v>
      </c>
      <c r="O6" s="11">
        <f>(N6-M6)/M6</f>
        <v>-5.7270809111655864E-3</v>
      </c>
    </row>
    <row r="7" spans="2:15" x14ac:dyDescent="0.35">
      <c r="B7" s="4" t="s">
        <v>32</v>
      </c>
      <c r="D7" s="1">
        <v>2</v>
      </c>
      <c r="E7" s="1">
        <v>703.61</v>
      </c>
      <c r="F7" s="1">
        <v>695.02</v>
      </c>
      <c r="G7" s="11">
        <f t="shared" ref="G7:G12" si="0">(F7-E7)/E7</f>
        <v>-1.2208467759127971E-2</v>
      </c>
      <c r="H7" s="3"/>
      <c r="I7" s="1">
        <v>708.89</v>
      </c>
      <c r="J7" s="4">
        <v>700.32</v>
      </c>
      <c r="K7" s="11">
        <f t="shared" ref="K7:K12" si="1">(J7-I7)/I7</f>
        <v>-1.2089322744008148E-2</v>
      </c>
      <c r="M7" s="1">
        <v>712.36</v>
      </c>
      <c r="N7" s="12">
        <v>703.85</v>
      </c>
      <c r="O7" s="11">
        <f t="shared" ref="O7:O12" si="2">(N7-M7)/M7</f>
        <v>-1.1946206974001896E-2</v>
      </c>
    </row>
    <row r="8" spans="2:15" x14ac:dyDescent="0.35">
      <c r="D8" s="1">
        <v>3</v>
      </c>
      <c r="E8" s="1">
        <v>883.05</v>
      </c>
      <c r="F8" s="1">
        <v>873.79</v>
      </c>
      <c r="G8" s="11">
        <f t="shared" si="0"/>
        <v>-1.0486382424551261E-2</v>
      </c>
      <c r="H8" s="3"/>
      <c r="I8" s="1">
        <v>896.23</v>
      </c>
      <c r="J8" s="4">
        <v>887.07</v>
      </c>
      <c r="K8" s="11">
        <f t="shared" si="1"/>
        <v>-1.0220590696584547E-2</v>
      </c>
      <c r="M8" s="1">
        <v>907.13</v>
      </c>
      <c r="N8" s="12">
        <v>898.15</v>
      </c>
      <c r="O8" s="11">
        <f t="shared" si="2"/>
        <v>-9.8993529042144101E-3</v>
      </c>
    </row>
    <row r="9" spans="2:15" x14ac:dyDescent="0.35">
      <c r="D9" s="1">
        <v>4</v>
      </c>
      <c r="E9" s="1">
        <v>1593.1</v>
      </c>
      <c r="F9" s="1">
        <v>1595.89</v>
      </c>
      <c r="G9" s="11">
        <f t="shared" si="0"/>
        <v>1.751302491996856E-3</v>
      </c>
      <c r="H9" s="3"/>
      <c r="I9" s="1">
        <v>1595</v>
      </c>
      <c r="J9" s="4">
        <v>1597.33</v>
      </c>
      <c r="K9" s="11">
        <f t="shared" si="1"/>
        <v>1.460815047021898E-3</v>
      </c>
      <c r="M9" s="1">
        <v>1596.7</v>
      </c>
      <c r="N9" s="12">
        <v>1599.76</v>
      </c>
      <c r="O9" s="11">
        <f t="shared" si="2"/>
        <v>1.9164526836600146E-3</v>
      </c>
    </row>
    <row r="10" spans="2:15" x14ac:dyDescent="0.35">
      <c r="D10" s="1">
        <v>5</v>
      </c>
      <c r="E10" s="1">
        <v>1621.4</v>
      </c>
      <c r="F10" s="1">
        <v>1602.43</v>
      </c>
      <c r="G10" s="11">
        <f t="shared" si="0"/>
        <v>-1.169976563463675E-2</v>
      </c>
      <c r="H10" s="3"/>
      <c r="I10" s="1">
        <v>1630.4</v>
      </c>
      <c r="J10" s="4">
        <v>1612.93</v>
      </c>
      <c r="K10" s="11">
        <f t="shared" si="1"/>
        <v>-1.0715161923454383E-2</v>
      </c>
      <c r="M10" s="1">
        <v>1636.6</v>
      </c>
      <c r="N10" s="12">
        <v>1619.02</v>
      </c>
      <c r="O10" s="11">
        <f t="shared" si="2"/>
        <v>-1.0741781742637131E-2</v>
      </c>
    </row>
    <row r="11" spans="2:15" x14ac:dyDescent="0.35">
      <c r="D11" s="1">
        <v>6</v>
      </c>
      <c r="E11" s="1">
        <v>2038.5</v>
      </c>
      <c r="F11" s="1">
        <v>2041.78</v>
      </c>
      <c r="G11" s="11">
        <f t="shared" si="0"/>
        <v>1.6090262447878208E-3</v>
      </c>
      <c r="H11" s="3"/>
      <c r="I11" s="1">
        <v>2054.1</v>
      </c>
      <c r="J11" s="4">
        <v>2057.09</v>
      </c>
      <c r="K11" s="11">
        <f t="shared" si="1"/>
        <v>1.4556253346965759E-3</v>
      </c>
      <c r="M11" s="1">
        <v>2065.6</v>
      </c>
      <c r="N11" s="12">
        <v>2068.4899999999998</v>
      </c>
      <c r="O11" s="11">
        <f t="shared" si="2"/>
        <v>1.3991092176606666E-3</v>
      </c>
    </row>
    <row r="12" spans="2:15" x14ac:dyDescent="0.35">
      <c r="D12" s="1">
        <v>7</v>
      </c>
      <c r="E12" s="1">
        <v>2476.1</v>
      </c>
      <c r="F12" s="1">
        <v>2446.54</v>
      </c>
      <c r="G12" s="11">
        <f t="shared" si="0"/>
        <v>-1.1938128508541637E-2</v>
      </c>
      <c r="H12" s="3"/>
      <c r="I12" s="1">
        <v>2480</v>
      </c>
      <c r="J12" s="4">
        <v>2450.25</v>
      </c>
      <c r="K12" s="11">
        <f t="shared" si="1"/>
        <v>-1.1995967741935483E-2</v>
      </c>
      <c r="M12" s="1">
        <v>2481.9</v>
      </c>
      <c r="N12" s="12">
        <v>2452.3000000000002</v>
      </c>
      <c r="O12" s="11">
        <f t="shared" si="2"/>
        <v>-1.1926346750473391E-2</v>
      </c>
    </row>
    <row r="13" spans="2:15" x14ac:dyDescent="0.35">
      <c r="D13" s="3"/>
      <c r="E13" s="3"/>
      <c r="F13" s="3"/>
      <c r="G13" s="3"/>
      <c r="H13" s="3"/>
      <c r="I13" s="3"/>
      <c r="J13" s="3"/>
      <c r="K13" s="3"/>
    </row>
  </sheetData>
  <mergeCells count="6">
    <mergeCell ref="M4:M5"/>
    <mergeCell ref="D2:E2"/>
    <mergeCell ref="I2:J2"/>
    <mergeCell ref="D4:D5"/>
    <mergeCell ref="E4:E5"/>
    <mergeCell ref="I4:I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D4D2-BE0D-4ED3-BEDE-C649699F3371}">
  <dimension ref="B2:O24"/>
  <sheetViews>
    <sheetView zoomScale="90" zoomScaleNormal="90" workbookViewId="0">
      <selection activeCell="I17" sqref="I17"/>
    </sheetView>
  </sheetViews>
  <sheetFormatPr defaultRowHeight="14.5" x14ac:dyDescent="0.35"/>
  <cols>
    <col min="2" max="2" width="11" customWidth="1"/>
    <col min="4" max="4" width="6.6328125" bestFit="1" customWidth="1"/>
    <col min="5" max="5" width="10.26953125" bestFit="1" customWidth="1"/>
    <col min="6" max="6" width="8" bestFit="1" customWidth="1"/>
    <col min="7" max="7" width="8.36328125" bestFit="1" customWidth="1"/>
    <col min="9" max="9" width="8.6328125" customWidth="1"/>
    <col min="10" max="10" width="8" bestFit="1" customWidth="1"/>
    <col min="11" max="11" width="9.90625" bestFit="1" customWidth="1"/>
    <col min="14" max="14" width="9.08984375" bestFit="1" customWidth="1"/>
    <col min="15" max="15" width="9.90625" bestFit="1" customWidth="1"/>
  </cols>
  <sheetData>
    <row r="2" spans="2:15" x14ac:dyDescent="0.35">
      <c r="B2" s="20" t="s">
        <v>26</v>
      </c>
      <c r="D2" s="13"/>
      <c r="E2" s="13"/>
      <c r="F2" s="14" t="s">
        <v>6</v>
      </c>
      <c r="G2" s="14"/>
      <c r="H2" s="15"/>
      <c r="I2" s="30"/>
      <c r="J2" s="30"/>
      <c r="K2" s="15"/>
    </row>
    <row r="3" spans="2:15" x14ac:dyDescent="0.35">
      <c r="B3" s="4" t="s">
        <v>24</v>
      </c>
      <c r="D3" s="14"/>
      <c r="E3" s="14" t="s">
        <v>7</v>
      </c>
      <c r="F3" s="14" t="s">
        <v>12</v>
      </c>
      <c r="G3" s="14" t="s">
        <v>5</v>
      </c>
      <c r="H3" s="15"/>
      <c r="I3" s="14" t="s">
        <v>4</v>
      </c>
      <c r="J3" s="14" t="s">
        <v>12</v>
      </c>
      <c r="K3" s="14" t="s">
        <v>5</v>
      </c>
      <c r="M3" s="14" t="s">
        <v>4</v>
      </c>
      <c r="N3" s="14" t="s">
        <v>12</v>
      </c>
      <c r="O3" s="14" t="s">
        <v>5</v>
      </c>
    </row>
    <row r="4" spans="2:15" ht="14.5" customHeight="1" x14ac:dyDescent="0.35">
      <c r="B4" s="4" t="s">
        <v>37</v>
      </c>
      <c r="D4" s="31" t="s">
        <v>3</v>
      </c>
      <c r="E4" s="29" t="s">
        <v>10</v>
      </c>
      <c r="F4" s="14" t="s">
        <v>1</v>
      </c>
      <c r="G4" s="14" t="s">
        <v>17</v>
      </c>
      <c r="H4" s="15"/>
      <c r="I4" s="29" t="s">
        <v>10</v>
      </c>
      <c r="J4" s="14" t="s">
        <v>1</v>
      </c>
      <c r="K4" s="14" t="s">
        <v>17</v>
      </c>
      <c r="M4" s="29" t="s">
        <v>10</v>
      </c>
      <c r="N4" s="14" t="s">
        <v>1</v>
      </c>
      <c r="O4" s="14" t="s">
        <v>14</v>
      </c>
    </row>
    <row r="5" spans="2:15" x14ac:dyDescent="0.35">
      <c r="B5" s="4" t="s">
        <v>31</v>
      </c>
      <c r="D5" s="31"/>
      <c r="E5" s="29"/>
      <c r="F5" s="1" t="s">
        <v>43</v>
      </c>
      <c r="G5" s="14" t="s">
        <v>2</v>
      </c>
      <c r="H5" s="15"/>
      <c r="I5" s="29"/>
      <c r="J5" s="1" t="s">
        <v>43</v>
      </c>
      <c r="K5" s="14" t="s">
        <v>2</v>
      </c>
      <c r="M5" s="29"/>
      <c r="N5" s="1" t="s">
        <v>43</v>
      </c>
      <c r="O5" s="14" t="s">
        <v>2</v>
      </c>
    </row>
    <row r="6" spans="2:15" x14ac:dyDescent="0.35">
      <c r="B6" s="4" t="s">
        <v>35</v>
      </c>
      <c r="D6" s="14">
        <v>1</v>
      </c>
      <c r="E6" s="14">
        <v>207.77</v>
      </c>
      <c r="F6" s="14">
        <v>206.18</v>
      </c>
      <c r="G6" s="17">
        <f>(F6-E6)/E6</f>
        <v>-7.6526928815517318E-3</v>
      </c>
      <c r="H6" s="15"/>
      <c r="I6" s="14">
        <v>221.38</v>
      </c>
      <c r="J6">
        <v>219.88</v>
      </c>
      <c r="K6" s="17">
        <f>(J6-I6)/I6</f>
        <v>-6.7756798265425962E-3</v>
      </c>
      <c r="M6" s="14">
        <v>232.52</v>
      </c>
      <c r="N6" s="14">
        <v>231.1</v>
      </c>
      <c r="O6" s="17">
        <f>(N6-M6)/M6</f>
        <v>-6.1070015482539821E-3</v>
      </c>
    </row>
    <row r="7" spans="2:15" x14ac:dyDescent="0.35">
      <c r="B7" s="4" t="s">
        <v>33</v>
      </c>
      <c r="D7" s="14">
        <v>2</v>
      </c>
      <c r="E7" s="14">
        <v>703.66</v>
      </c>
      <c r="F7" s="14">
        <v>694.49</v>
      </c>
      <c r="G7" s="17">
        <f t="shared" ref="G7:G12" si="0">(F7-E7)/E7</f>
        <v>-1.303186197879652E-2</v>
      </c>
      <c r="H7" s="15"/>
      <c r="I7" s="14">
        <v>708.74</v>
      </c>
      <c r="J7">
        <v>699.61</v>
      </c>
      <c r="K7" s="17">
        <f t="shared" ref="K7:K12" si="1">(J7-I7)/I7</f>
        <v>-1.2882015972006652E-2</v>
      </c>
      <c r="M7" s="14">
        <v>712.1</v>
      </c>
      <c r="N7" s="14">
        <v>703.06</v>
      </c>
      <c r="O7" s="17">
        <f t="shared" ref="O7:O12" si="2">(N7-M7)/M7</f>
        <v>-1.2694846229462263E-2</v>
      </c>
    </row>
    <row r="8" spans="2:15" x14ac:dyDescent="0.35">
      <c r="B8" s="4" t="s">
        <v>32</v>
      </c>
      <c r="D8" s="14">
        <v>3</v>
      </c>
      <c r="E8" s="14">
        <v>885.48</v>
      </c>
      <c r="F8" s="14">
        <v>876.23</v>
      </c>
      <c r="G8" s="17">
        <f t="shared" si="0"/>
        <v>-1.0446311605005195E-2</v>
      </c>
      <c r="H8" s="15"/>
      <c r="I8" s="14">
        <v>898.73</v>
      </c>
      <c r="J8">
        <v>889.57</v>
      </c>
      <c r="K8" s="17">
        <f t="shared" si="1"/>
        <v>-1.0192160048067793E-2</v>
      </c>
      <c r="M8" s="14">
        <v>909.49</v>
      </c>
      <c r="N8" s="14">
        <v>900.48</v>
      </c>
      <c r="O8" s="17">
        <f t="shared" si="2"/>
        <v>-9.906650980219674E-3</v>
      </c>
    </row>
    <row r="9" spans="2:15" x14ac:dyDescent="0.35">
      <c r="D9" s="14">
        <v>4</v>
      </c>
      <c r="E9" s="14">
        <v>1589.8</v>
      </c>
      <c r="F9" s="14">
        <v>1589.94</v>
      </c>
      <c r="G9" s="17">
        <f t="shared" si="0"/>
        <v>8.8061391370046583E-5</v>
      </c>
      <c r="H9" s="15"/>
      <c r="I9" s="14">
        <v>1591.7</v>
      </c>
      <c r="J9">
        <v>1592.83</v>
      </c>
      <c r="K9" s="17">
        <f t="shared" si="1"/>
        <v>7.0993277627686227E-4</v>
      </c>
      <c r="M9" s="14">
        <v>1593.4</v>
      </c>
      <c r="N9" s="14">
        <v>1595.57</v>
      </c>
      <c r="O9" s="17">
        <f t="shared" si="2"/>
        <v>1.3618677042800584E-3</v>
      </c>
    </row>
    <row r="10" spans="2:15" x14ac:dyDescent="0.35">
      <c r="D10" s="14">
        <v>5</v>
      </c>
      <c r="E10" s="14">
        <v>1620.5</v>
      </c>
      <c r="F10" s="14">
        <v>1605.7</v>
      </c>
      <c r="G10" s="17">
        <f t="shared" si="0"/>
        <v>-9.1329836470224954E-3</v>
      </c>
      <c r="H10" s="15"/>
      <c r="I10" s="14">
        <v>1629.5</v>
      </c>
      <c r="J10">
        <v>1614.73</v>
      </c>
      <c r="K10" s="17">
        <f t="shared" si="1"/>
        <v>-9.0641301012580437E-3</v>
      </c>
      <c r="M10" s="14">
        <v>1635.5</v>
      </c>
      <c r="N10" s="14">
        <v>1620.17</v>
      </c>
      <c r="O10" s="17">
        <f t="shared" si="2"/>
        <v>-9.3732803424028902E-3</v>
      </c>
    </row>
    <row r="11" spans="2:15" x14ac:dyDescent="0.35">
      <c r="D11" s="14">
        <v>6</v>
      </c>
      <c r="E11" s="14">
        <v>2041.2</v>
      </c>
      <c r="F11" s="14">
        <v>2045.53</v>
      </c>
      <c r="G11" s="17">
        <f t="shared" si="0"/>
        <v>2.1213011953752337E-3</v>
      </c>
      <c r="H11" s="15"/>
      <c r="I11" s="14">
        <v>2056.3000000000002</v>
      </c>
      <c r="J11">
        <v>2060.2600000000002</v>
      </c>
      <c r="K11" s="17">
        <f t="shared" si="1"/>
        <v>1.9257890385644292E-3</v>
      </c>
      <c r="M11" s="14">
        <v>2067.1999999999998</v>
      </c>
      <c r="N11" s="14">
        <v>2070.98</v>
      </c>
      <c r="O11" s="17">
        <f t="shared" si="2"/>
        <v>1.8285603715171249E-3</v>
      </c>
    </row>
    <row r="12" spans="2:15" x14ac:dyDescent="0.35">
      <c r="D12" s="14">
        <v>7</v>
      </c>
      <c r="E12" s="14">
        <v>2474.6999999999998</v>
      </c>
      <c r="F12" s="14">
        <v>2449.09</v>
      </c>
      <c r="G12" s="17">
        <f t="shared" si="0"/>
        <v>-1.034872913888539E-2</v>
      </c>
      <c r="H12" s="15"/>
      <c r="I12" s="14">
        <v>2478.8000000000002</v>
      </c>
      <c r="J12">
        <v>2452.9699999999998</v>
      </c>
      <c r="K12" s="17">
        <f t="shared" si="1"/>
        <v>-1.0420364692593343E-2</v>
      </c>
      <c r="M12" s="14">
        <v>2480.5</v>
      </c>
      <c r="N12" s="14">
        <v>2454.77</v>
      </c>
      <c r="O12" s="17">
        <f t="shared" si="2"/>
        <v>-1.0372908687764571E-2</v>
      </c>
    </row>
    <row r="13" spans="2:15" x14ac:dyDescent="0.35">
      <c r="D13" s="15"/>
      <c r="E13" s="15"/>
      <c r="F13" s="15"/>
      <c r="G13" s="15"/>
      <c r="H13" s="15"/>
      <c r="I13" s="15"/>
      <c r="J13" s="15"/>
      <c r="K13" s="15"/>
    </row>
    <row r="14" spans="2:15" x14ac:dyDescent="0.35">
      <c r="D14" s="16"/>
      <c r="E14" s="15"/>
      <c r="F14" s="15"/>
      <c r="G14" s="15"/>
      <c r="H14" s="15"/>
    </row>
    <row r="15" spans="2:15" ht="14.5" customHeight="1" x14ac:dyDescent="0.35">
      <c r="D15" s="16"/>
      <c r="E15" s="18"/>
      <c r="F15" s="15"/>
      <c r="G15" s="15"/>
      <c r="H15" s="15"/>
    </row>
    <row r="16" spans="2:15" x14ac:dyDescent="0.35">
      <c r="D16" s="16"/>
      <c r="E16" s="16"/>
      <c r="F16" s="15"/>
      <c r="G16" s="15"/>
      <c r="H16" s="15"/>
    </row>
    <row r="17" spans="4:13" x14ac:dyDescent="0.35">
      <c r="D17" s="15"/>
      <c r="E17" s="15"/>
      <c r="F17" s="15"/>
      <c r="G17" s="2"/>
      <c r="H17" s="15"/>
      <c r="M17" s="24"/>
    </row>
    <row r="18" spans="4:13" x14ac:dyDescent="0.35">
      <c r="D18" s="15"/>
      <c r="E18" s="15"/>
      <c r="F18" s="15"/>
      <c r="G18" s="2"/>
      <c r="H18" s="15"/>
      <c r="M18" s="24"/>
    </row>
    <row r="19" spans="4:13" x14ac:dyDescent="0.35">
      <c r="D19" s="15"/>
      <c r="E19" s="15"/>
      <c r="F19" s="15"/>
      <c r="G19" s="2"/>
      <c r="H19" s="15"/>
      <c r="M19" s="24"/>
    </row>
    <row r="20" spans="4:13" x14ac:dyDescent="0.35">
      <c r="D20" s="15"/>
      <c r="E20" s="15"/>
      <c r="F20" s="15"/>
      <c r="G20" s="2"/>
      <c r="H20" s="15"/>
      <c r="M20" s="24"/>
    </row>
    <row r="21" spans="4:13" x14ac:dyDescent="0.35">
      <c r="D21" s="15"/>
      <c r="E21" s="15"/>
      <c r="F21" s="15"/>
      <c r="G21" s="2"/>
      <c r="H21" s="15"/>
      <c r="M21" s="24"/>
    </row>
    <row r="22" spans="4:13" x14ac:dyDescent="0.35">
      <c r="D22" s="15"/>
      <c r="E22" s="15"/>
      <c r="F22" s="15"/>
      <c r="G22" s="2"/>
      <c r="H22" s="15"/>
      <c r="M22" s="24"/>
    </row>
    <row r="23" spans="4:13" x14ac:dyDescent="0.35">
      <c r="D23" s="15"/>
      <c r="E23" s="15"/>
      <c r="F23" s="15"/>
      <c r="G23" s="2"/>
      <c r="H23" s="15"/>
      <c r="M23" s="24"/>
    </row>
    <row r="24" spans="4:13" x14ac:dyDescent="0.35">
      <c r="D24" s="15"/>
      <c r="E24" s="15"/>
      <c r="F24" s="15"/>
      <c r="G24" s="15"/>
      <c r="H24" s="15"/>
      <c r="I24" s="15"/>
      <c r="J24" s="15"/>
      <c r="K24" s="15"/>
    </row>
  </sheetData>
  <mergeCells count="5">
    <mergeCell ref="M4:M5"/>
    <mergeCell ref="I2:J2"/>
    <mergeCell ref="D4:D5"/>
    <mergeCell ref="E4:E5"/>
    <mergeCell ref="I4:I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063C-53CF-460E-808B-57981F729E94}">
  <dimension ref="B2:X28"/>
  <sheetViews>
    <sheetView tabSelected="1" zoomScale="68" zoomScaleNormal="80" workbookViewId="0">
      <selection activeCell="V15" sqref="V15"/>
    </sheetView>
  </sheetViews>
  <sheetFormatPr defaultRowHeight="14.5" x14ac:dyDescent="0.35"/>
  <cols>
    <col min="1" max="1" width="5.26953125" style="3" customWidth="1"/>
    <col min="2" max="2" width="10.6328125" style="3" customWidth="1"/>
    <col min="3" max="3" width="8.7265625" style="3" bestFit="1" customWidth="1"/>
    <col min="4" max="5" width="8.36328125" style="3" bestFit="1" customWidth="1"/>
    <col min="6" max="11" width="8.1796875" style="3" bestFit="1" customWidth="1"/>
    <col min="12" max="12" width="7.1796875" style="3" bestFit="1" customWidth="1"/>
    <col min="13" max="13" width="6.81640625" style="3" bestFit="1" customWidth="1"/>
    <col min="14" max="14" width="7.81640625" style="3" bestFit="1" customWidth="1"/>
    <col min="15" max="15" width="8.1796875" style="3" bestFit="1" customWidth="1"/>
    <col min="16" max="16" width="9.26953125" style="3" bestFit="1" customWidth="1"/>
    <col min="17" max="17" width="5.7265625" style="3" customWidth="1"/>
    <col min="18" max="18" width="8.7265625" style="3" bestFit="1" customWidth="1"/>
    <col min="19" max="19" width="8.1796875" style="3" bestFit="1" customWidth="1"/>
    <col min="20" max="20" width="9.26953125" style="3" bestFit="1" customWidth="1"/>
    <col min="21" max="21" width="5.453125" style="3" customWidth="1"/>
    <col min="22" max="22" width="8.81640625" style="3" bestFit="1" customWidth="1"/>
    <col min="23" max="23" width="8.1796875" style="3" bestFit="1" customWidth="1"/>
    <col min="24" max="24" width="9.26953125" style="3" bestFit="1" customWidth="1"/>
    <col min="25" max="16384" width="8.7265625" style="3"/>
  </cols>
  <sheetData>
    <row r="2" spans="2:24" ht="14.5" customHeight="1" x14ac:dyDescent="0.35">
      <c r="B2" s="4" t="s">
        <v>24</v>
      </c>
      <c r="C2" s="4"/>
      <c r="E2" s="26" t="s">
        <v>10</v>
      </c>
      <c r="F2" s="3" t="s">
        <v>1</v>
      </c>
      <c r="I2" s="21" t="s">
        <v>10</v>
      </c>
      <c r="J2" s="1" t="s">
        <v>1</v>
      </c>
      <c r="K2" s="1"/>
      <c r="N2" s="21" t="s">
        <v>10</v>
      </c>
      <c r="O2" s="1" t="s">
        <v>1</v>
      </c>
      <c r="P2" s="1" t="s">
        <v>20</v>
      </c>
      <c r="R2" s="1" t="s">
        <v>0</v>
      </c>
      <c r="S2" s="1" t="s">
        <v>1</v>
      </c>
      <c r="T2" s="1"/>
      <c r="V2" s="21" t="s">
        <v>10</v>
      </c>
      <c r="W2" s="1" t="s">
        <v>1</v>
      </c>
      <c r="X2" s="1" t="s">
        <v>20</v>
      </c>
    </row>
    <row r="3" spans="2:24" x14ac:dyDescent="0.35">
      <c r="B3" s="4" t="s">
        <v>36</v>
      </c>
      <c r="C3" s="4"/>
      <c r="E3" s="32" t="s">
        <v>7</v>
      </c>
      <c r="F3" s="32"/>
      <c r="G3" s="1" t="s">
        <v>19</v>
      </c>
      <c r="I3" s="32" t="s">
        <v>4</v>
      </c>
      <c r="J3" s="32"/>
      <c r="K3" s="1" t="s">
        <v>19</v>
      </c>
      <c r="N3" s="21" t="s">
        <v>18</v>
      </c>
      <c r="O3" s="1" t="s">
        <v>43</v>
      </c>
      <c r="P3" s="1" t="s">
        <v>2</v>
      </c>
      <c r="R3" s="1" t="s">
        <v>22</v>
      </c>
      <c r="S3" s="1"/>
      <c r="T3" s="1" t="s">
        <v>20</v>
      </c>
      <c r="V3" s="21" t="s">
        <v>46</v>
      </c>
      <c r="W3" s="1" t="s">
        <v>43</v>
      </c>
      <c r="X3" s="1" t="s">
        <v>2</v>
      </c>
    </row>
    <row r="4" spans="2:24" x14ac:dyDescent="0.35">
      <c r="B4" s="4" t="s">
        <v>31</v>
      </c>
      <c r="C4" s="4"/>
      <c r="E4" s="1">
        <v>232.16</v>
      </c>
      <c r="F4" s="1">
        <v>231.3</v>
      </c>
      <c r="G4" s="11">
        <f>(F4-E4)/E4</f>
        <v>-3.7043418332184065E-3</v>
      </c>
      <c r="H4" s="10"/>
      <c r="I4" s="1">
        <v>243.88</v>
      </c>
      <c r="J4" s="12">
        <v>243.36</v>
      </c>
      <c r="K4" s="11">
        <f>(J4-I4)/I4</f>
        <v>-2.1321961620468337E-3</v>
      </c>
      <c r="N4" s="1">
        <v>254.28</v>
      </c>
      <c r="O4" s="1">
        <v>253.51</v>
      </c>
      <c r="P4" s="11">
        <f>(O4-N4)/N4</f>
        <v>-3.0281579361334365E-3</v>
      </c>
      <c r="R4" s="19">
        <v>310.8</v>
      </c>
      <c r="S4" s="1">
        <v>310.08</v>
      </c>
      <c r="T4" s="11">
        <f>(S4-R4)/R4</f>
        <v>-2.3166023166024045E-3</v>
      </c>
      <c r="V4" s="1">
        <v>786.91</v>
      </c>
      <c r="W4" s="1">
        <v>775.92</v>
      </c>
      <c r="X4" s="11">
        <f>(W4-V4)/V4</f>
        <v>-1.3966018985652756E-2</v>
      </c>
    </row>
    <row r="5" spans="2:24" x14ac:dyDescent="0.35">
      <c r="B5" s="4" t="s">
        <v>35</v>
      </c>
      <c r="C5" s="4"/>
      <c r="E5" s="1">
        <v>710.08</v>
      </c>
      <c r="F5" s="1">
        <v>702.82</v>
      </c>
      <c r="G5" s="11">
        <f t="shared" ref="G5:G10" si="0">(F5-E5)/E5</f>
        <v>-1.0224200090130676E-2</v>
      </c>
      <c r="H5" s="10"/>
      <c r="I5" s="1">
        <v>714.66</v>
      </c>
      <c r="J5" s="12">
        <v>706.61</v>
      </c>
      <c r="K5" s="11">
        <f t="shared" ref="K5:K10" si="1">(J5-I5)/I5</f>
        <v>-1.1264097612850804E-2</v>
      </c>
      <c r="N5" s="1">
        <v>717.59</v>
      </c>
      <c r="O5" s="1">
        <v>710.44</v>
      </c>
      <c r="P5" s="11">
        <f t="shared" ref="P5:P10" si="2">(O5-N5)/N5</f>
        <v>-9.9639069663735244E-3</v>
      </c>
      <c r="R5" s="19">
        <v>739.55</v>
      </c>
      <c r="S5" s="1">
        <v>732.67</v>
      </c>
      <c r="T5" s="11">
        <f t="shared" ref="T5:T10" si="3">(S5-R5)/R5</f>
        <v>-9.3029544993577119E-3</v>
      </c>
      <c r="V5" s="1">
        <v>1043.5999999999999</v>
      </c>
      <c r="W5" s="1">
        <v>1032.71</v>
      </c>
      <c r="X5" s="11">
        <f t="shared" ref="X5:X10" si="4">(W5-V5)/V5</f>
        <v>-1.0435032579532266E-2</v>
      </c>
    </row>
    <row r="6" spans="2:24" x14ac:dyDescent="0.35">
      <c r="B6" s="4" t="s">
        <v>33</v>
      </c>
      <c r="C6" s="4"/>
      <c r="E6" s="1">
        <v>957.88</v>
      </c>
      <c r="F6" s="1">
        <v>949.3</v>
      </c>
      <c r="G6" s="11">
        <f t="shared" si="0"/>
        <v>-8.9572806614607679E-3</v>
      </c>
      <c r="H6" s="10"/>
      <c r="I6" s="1">
        <v>967.87</v>
      </c>
      <c r="J6" s="12">
        <v>960.64</v>
      </c>
      <c r="K6" s="11">
        <f t="shared" si="1"/>
        <v>-7.4700114684823566E-3</v>
      </c>
      <c r="N6" s="1">
        <v>979.49</v>
      </c>
      <c r="O6" s="1">
        <v>971.15</v>
      </c>
      <c r="P6" s="11">
        <f t="shared" si="2"/>
        <v>-8.5146351672809647E-3</v>
      </c>
      <c r="R6" s="19">
        <v>1041.2</v>
      </c>
      <c r="S6" s="1">
        <v>1033.52</v>
      </c>
      <c r="T6" s="11">
        <f t="shared" si="3"/>
        <v>-7.3761044948137374E-3</v>
      </c>
      <c r="V6" s="1">
        <v>1630.7</v>
      </c>
      <c r="W6" s="1">
        <v>1652.66</v>
      </c>
      <c r="X6" s="11">
        <f t="shared" si="4"/>
        <v>1.3466609431532493E-2</v>
      </c>
    </row>
    <row r="7" spans="2:24" x14ac:dyDescent="0.35">
      <c r="B7" s="4" t="s">
        <v>32</v>
      </c>
      <c r="C7" s="4"/>
      <c r="E7" s="1">
        <v>1591.3</v>
      </c>
      <c r="F7" s="1">
        <v>1601.13</v>
      </c>
      <c r="G7" s="11">
        <f t="shared" si="0"/>
        <v>6.1773392823478634E-3</v>
      </c>
      <c r="H7" s="10"/>
      <c r="I7" s="1">
        <v>1591.9</v>
      </c>
      <c r="J7" s="12">
        <v>1604.03</v>
      </c>
      <c r="K7" s="11">
        <f t="shared" si="1"/>
        <v>7.6198253659148698E-3</v>
      </c>
      <c r="N7" s="1">
        <v>1595.8</v>
      </c>
      <c r="O7" s="1">
        <v>1606.89</v>
      </c>
      <c r="P7" s="11">
        <f t="shared" si="2"/>
        <v>6.9494924175962812E-3</v>
      </c>
      <c r="R7" s="19">
        <v>1608.6</v>
      </c>
      <c r="S7" s="1">
        <v>1622.59</v>
      </c>
      <c r="T7" s="11">
        <f t="shared" si="3"/>
        <v>8.6970036056197991E-3</v>
      </c>
      <c r="V7" s="1">
        <v>1937.4</v>
      </c>
      <c r="W7" s="1">
        <v>1962.72</v>
      </c>
      <c r="X7" s="11">
        <f t="shared" si="4"/>
        <v>1.3069061628987268E-2</v>
      </c>
    </row>
    <row r="8" spans="2:24" x14ac:dyDescent="0.35">
      <c r="E8" s="1">
        <v>1665.6</v>
      </c>
      <c r="F8" s="1">
        <v>1646.06</v>
      </c>
      <c r="G8" s="11">
        <f t="shared" si="0"/>
        <v>-1.1731508165225724E-2</v>
      </c>
      <c r="H8" s="10"/>
      <c r="I8" s="1">
        <v>1676.3</v>
      </c>
      <c r="J8" s="12">
        <v>1652.41</v>
      </c>
      <c r="K8" s="11">
        <f t="shared" si="1"/>
        <v>-1.4251625604008753E-2</v>
      </c>
      <c r="N8" s="1">
        <v>1678.1</v>
      </c>
      <c r="O8" s="1">
        <v>1658.78</v>
      </c>
      <c r="P8" s="11">
        <f t="shared" si="2"/>
        <v>-1.1513020678147868E-2</v>
      </c>
      <c r="R8" s="19">
        <v>1716.1</v>
      </c>
      <c r="S8" s="1">
        <v>1697.81</v>
      </c>
      <c r="T8" s="11">
        <f t="shared" si="3"/>
        <v>-1.0657887069518073E-2</v>
      </c>
      <c r="V8" s="1">
        <v>2285.5</v>
      </c>
      <c r="W8" s="1">
        <v>2283.56</v>
      </c>
      <c r="X8" s="11">
        <f t="shared" si="4"/>
        <v>-8.4882957777294011E-4</v>
      </c>
    </row>
    <row r="9" spans="2:24" x14ac:dyDescent="0.35">
      <c r="E9" s="1">
        <v>2093</v>
      </c>
      <c r="F9" s="1">
        <v>2094.39</v>
      </c>
      <c r="G9" s="11">
        <f t="shared" si="0"/>
        <v>6.6411849020538594E-4</v>
      </c>
      <c r="H9" s="10"/>
      <c r="I9" s="1">
        <v>2103.6</v>
      </c>
      <c r="J9" s="12">
        <v>2105.31</v>
      </c>
      <c r="K9" s="11">
        <f t="shared" si="1"/>
        <v>8.1289218482602987E-4</v>
      </c>
      <c r="N9" s="1">
        <v>2117</v>
      </c>
      <c r="O9" s="1">
        <v>2117.67</v>
      </c>
      <c r="P9" s="11">
        <f t="shared" si="2"/>
        <v>3.1648559282006271E-4</v>
      </c>
      <c r="R9" s="19">
        <v>2186.5</v>
      </c>
      <c r="S9" s="1">
        <v>2184.98</v>
      </c>
      <c r="T9" s="11">
        <f t="shared" si="3"/>
        <v>-6.9517493711410095E-4</v>
      </c>
      <c r="V9" s="1">
        <v>2622.6</v>
      </c>
      <c r="W9" s="1">
        <v>2583.21</v>
      </c>
      <c r="X9" s="11">
        <f t="shared" si="4"/>
        <v>-1.5019446350949392E-2</v>
      </c>
    </row>
    <row r="10" spans="2:24" x14ac:dyDescent="0.35">
      <c r="E10" s="1">
        <v>2439.6999999999998</v>
      </c>
      <c r="F10" s="1">
        <v>2408.7600000000002</v>
      </c>
      <c r="G10" s="11">
        <f t="shared" si="0"/>
        <v>-1.2681887117268354E-2</v>
      </c>
      <c r="H10" s="10"/>
      <c r="I10" s="1">
        <v>2442.9</v>
      </c>
      <c r="J10" s="12">
        <v>2411.42</v>
      </c>
      <c r="K10" s="11">
        <f t="shared" si="1"/>
        <v>-1.2886323631749158E-2</v>
      </c>
      <c r="N10" s="1">
        <v>2444.9</v>
      </c>
      <c r="O10" s="1">
        <v>2414.08</v>
      </c>
      <c r="P10" s="11">
        <f t="shared" si="2"/>
        <v>-1.2605832549388589E-2</v>
      </c>
      <c r="R10" s="1">
        <v>2460.6</v>
      </c>
      <c r="S10" s="1">
        <v>2430.63</v>
      </c>
      <c r="T10" s="11">
        <f t="shared" si="3"/>
        <v>-1.2179956108266195E-2</v>
      </c>
      <c r="V10" s="1">
        <v>3186</v>
      </c>
      <c r="W10" s="1">
        <v>3193.63</v>
      </c>
      <c r="X10" s="11">
        <f t="shared" si="4"/>
        <v>2.3948524795982767E-3</v>
      </c>
    </row>
    <row r="13" spans="2:24" x14ac:dyDescent="0.35">
      <c r="C13" s="36" t="s">
        <v>21</v>
      </c>
      <c r="D13" s="37"/>
      <c r="E13" s="37"/>
      <c r="F13" s="37"/>
      <c r="G13" s="37"/>
      <c r="H13" s="37"/>
      <c r="I13" s="37"/>
      <c r="J13" s="37"/>
      <c r="K13" s="38"/>
      <c r="L13" s="13"/>
      <c r="M13" s="3" t="s">
        <v>45</v>
      </c>
      <c r="T13" s="8"/>
    </row>
    <row r="14" spans="2:24" x14ac:dyDescent="0.35"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10</v>
      </c>
      <c r="K14" s="1">
        <v>15</v>
      </c>
      <c r="L14" s="13" t="s">
        <v>0</v>
      </c>
      <c r="M14" s="3" t="s">
        <v>2</v>
      </c>
      <c r="T14" s="8"/>
    </row>
    <row r="15" spans="2:24" x14ac:dyDescent="0.35">
      <c r="C15" s="19">
        <v>554.91999999999996</v>
      </c>
      <c r="D15" s="1">
        <v>274.89999999999998</v>
      </c>
      <c r="E15" s="1">
        <v>256.27999999999997</v>
      </c>
      <c r="F15" s="1">
        <v>254.33</v>
      </c>
      <c r="G15" s="1">
        <v>253.51</v>
      </c>
      <c r="H15" s="1">
        <v>253.17</v>
      </c>
      <c r="I15" s="1">
        <v>253.07</v>
      </c>
      <c r="J15" s="12">
        <v>252.92</v>
      </c>
      <c r="K15" s="1">
        <v>252.81</v>
      </c>
      <c r="L15" s="1">
        <v>254.07</v>
      </c>
      <c r="M15" s="22">
        <f>(K15-L15)/L15</f>
        <v>-4.9592631951823948E-3</v>
      </c>
      <c r="N15" s="22"/>
      <c r="T15" s="8"/>
    </row>
    <row r="16" spans="2:24" x14ac:dyDescent="0.35">
      <c r="C16" s="19">
        <v>1671.84</v>
      </c>
      <c r="D16" s="25">
        <v>790.15</v>
      </c>
      <c r="E16" s="1">
        <v>726.27</v>
      </c>
      <c r="F16" s="1">
        <v>714.95</v>
      </c>
      <c r="G16" s="1">
        <v>710.44</v>
      </c>
      <c r="H16" s="1">
        <v>708.76</v>
      </c>
      <c r="I16" s="1">
        <v>708.11</v>
      </c>
      <c r="J16" s="12">
        <v>707.18</v>
      </c>
      <c r="K16" s="1">
        <v>706.47</v>
      </c>
      <c r="L16" s="1">
        <v>717.6</v>
      </c>
      <c r="M16" s="22">
        <f t="shared" ref="M16:M21" si="5">(K16-L16)/L16</f>
        <v>-1.5510033444816046E-2</v>
      </c>
      <c r="N16" s="22"/>
      <c r="T16" s="8"/>
    </row>
    <row r="17" spans="3:20" x14ac:dyDescent="0.35">
      <c r="C17" s="25">
        <v>2410.34</v>
      </c>
      <c r="D17" s="25">
        <v>1181.97</v>
      </c>
      <c r="E17" s="19">
        <v>1006.81</v>
      </c>
      <c r="F17" s="1">
        <v>974.26</v>
      </c>
      <c r="G17" s="1">
        <v>971.15</v>
      </c>
      <c r="H17" s="1">
        <v>970.1</v>
      </c>
      <c r="I17" s="1">
        <v>969.84</v>
      </c>
      <c r="J17" s="12">
        <v>969.61</v>
      </c>
      <c r="K17" s="1">
        <v>969.43</v>
      </c>
      <c r="L17" s="1">
        <v>978.76</v>
      </c>
      <c r="M17" s="22">
        <f t="shared" si="5"/>
        <v>-9.5324696554824895E-3</v>
      </c>
      <c r="N17" s="22"/>
      <c r="T17" s="8"/>
    </row>
    <row r="18" spans="3:20" x14ac:dyDescent="0.35">
      <c r="C18" s="25">
        <v>4124.4799999999996</v>
      </c>
      <c r="D18" s="25">
        <v>1660.02</v>
      </c>
      <c r="E18" s="19">
        <v>1623.74</v>
      </c>
      <c r="F18" s="1">
        <v>1609.74</v>
      </c>
      <c r="G18" s="1">
        <v>1606.89</v>
      </c>
      <c r="H18" s="1">
        <v>1605.64</v>
      </c>
      <c r="I18" s="1">
        <v>1605.25</v>
      </c>
      <c r="J18" s="12">
        <v>1604.91</v>
      </c>
      <c r="K18" s="1">
        <v>1604.65</v>
      </c>
      <c r="L18" s="1">
        <v>1594.6</v>
      </c>
      <c r="M18" s="22">
        <f t="shared" si="5"/>
        <v>6.302521008403476E-3</v>
      </c>
      <c r="N18" s="22"/>
      <c r="T18" s="8"/>
    </row>
    <row r="19" spans="3:20" x14ac:dyDescent="0.35">
      <c r="C19" s="25">
        <v>4967.92</v>
      </c>
      <c r="D19" s="25">
        <v>2102.63</v>
      </c>
      <c r="E19" s="19">
        <v>1735.78</v>
      </c>
      <c r="F19" s="1">
        <v>1665.59</v>
      </c>
      <c r="G19" s="1">
        <v>1658.78</v>
      </c>
      <c r="H19" s="1">
        <v>1655.96</v>
      </c>
      <c r="I19" s="1">
        <v>1655.43</v>
      </c>
      <c r="J19" s="12">
        <v>1654.66</v>
      </c>
      <c r="K19" s="1">
        <v>1654.06</v>
      </c>
      <c r="L19" s="1">
        <v>1678.8</v>
      </c>
      <c r="M19" s="22">
        <f t="shared" si="5"/>
        <v>-1.4736716702406486E-2</v>
      </c>
      <c r="N19" s="22"/>
      <c r="T19" s="8"/>
    </row>
    <row r="20" spans="3:20" x14ac:dyDescent="0.35">
      <c r="C20" s="25">
        <v>5139.87</v>
      </c>
      <c r="D20" s="25">
        <v>5013.43</v>
      </c>
      <c r="E20" s="19">
        <v>2465.0300000000002</v>
      </c>
      <c r="F20" s="1">
        <v>2226.7199999999998</v>
      </c>
      <c r="G20" s="1">
        <v>2117.67</v>
      </c>
      <c r="H20" s="1">
        <v>2103.77</v>
      </c>
      <c r="I20" s="1">
        <v>2095.3000000000002</v>
      </c>
      <c r="J20" s="12">
        <v>2093.46</v>
      </c>
      <c r="K20" s="1">
        <v>2092.7199999999998</v>
      </c>
      <c r="L20" s="1">
        <v>2116.3000000000002</v>
      </c>
      <c r="M20" s="22">
        <f t="shared" si="5"/>
        <v>-1.1142087605727156E-2</v>
      </c>
      <c r="N20" s="22"/>
    </row>
    <row r="21" spans="3:20" x14ac:dyDescent="0.35">
      <c r="C21" s="25">
        <v>5958.53</v>
      </c>
      <c r="D21" s="25">
        <v>5230.5600000000004</v>
      </c>
      <c r="E21" s="19">
        <v>2907.34</v>
      </c>
      <c r="F21" s="1">
        <v>2447.1</v>
      </c>
      <c r="G21" s="1">
        <v>2414.08</v>
      </c>
      <c r="H21" s="1">
        <v>2406.5700000000002</v>
      </c>
      <c r="I21" s="1">
        <v>2404.8200000000002</v>
      </c>
      <c r="J21" s="12">
        <v>2403.6799999999998</v>
      </c>
      <c r="K21" s="1">
        <v>2403.13</v>
      </c>
      <c r="L21" s="1">
        <v>2444.9</v>
      </c>
      <c r="M21" s="22">
        <f t="shared" si="5"/>
        <v>-1.7084543335105722E-2</v>
      </c>
      <c r="N21" s="22"/>
      <c r="R21" s="5"/>
    </row>
    <row r="22" spans="3:20" x14ac:dyDescent="0.35">
      <c r="C22" s="3" t="s">
        <v>44</v>
      </c>
      <c r="D22" s="5">
        <f>D15-C15</f>
        <v>-280.02</v>
      </c>
      <c r="E22" s="5">
        <f t="shared" ref="E22:L22" si="6">E15-D15</f>
        <v>-18.620000000000005</v>
      </c>
      <c r="F22" s="5">
        <f t="shared" si="6"/>
        <v>-1.9499999999999602</v>
      </c>
      <c r="G22" s="5">
        <f t="shared" si="6"/>
        <v>-0.8200000000000216</v>
      </c>
      <c r="H22" s="5">
        <f t="shared" si="6"/>
        <v>-0.34000000000000341</v>
      </c>
      <c r="I22" s="5">
        <f t="shared" si="6"/>
        <v>-9.9999999999994316E-2</v>
      </c>
      <c r="J22" s="5">
        <f t="shared" si="6"/>
        <v>-0.15000000000000568</v>
      </c>
      <c r="K22" s="5">
        <f t="shared" si="6"/>
        <v>-0.10999999999998522</v>
      </c>
      <c r="L22" s="5">
        <f t="shared" si="6"/>
        <v>1.2599999999999909</v>
      </c>
      <c r="M22" s="5"/>
      <c r="R22" s="5"/>
      <c r="T22" s="8"/>
    </row>
    <row r="23" spans="3:20" x14ac:dyDescent="0.35">
      <c r="C23" s="5"/>
      <c r="D23" s="5">
        <f t="shared" ref="D23:L23" si="7">D16-C16</f>
        <v>-881.68999999999994</v>
      </c>
      <c r="E23" s="5">
        <f t="shared" si="7"/>
        <v>-63.879999999999995</v>
      </c>
      <c r="F23" s="5">
        <f t="shared" si="7"/>
        <v>-11.319999999999936</v>
      </c>
      <c r="G23" s="5">
        <f t="shared" si="7"/>
        <v>-4.5099999999999909</v>
      </c>
      <c r="H23" s="5">
        <f t="shared" si="7"/>
        <v>-1.6800000000000637</v>
      </c>
      <c r="I23" s="5">
        <f t="shared" si="7"/>
        <v>-0.64999999999997726</v>
      </c>
      <c r="J23" s="5">
        <f t="shared" si="7"/>
        <v>-0.93000000000006366</v>
      </c>
      <c r="K23" s="5">
        <f t="shared" si="7"/>
        <v>-0.70999999999992269</v>
      </c>
      <c r="L23" s="5">
        <f t="shared" si="7"/>
        <v>11.129999999999995</v>
      </c>
      <c r="M23" s="5"/>
      <c r="N23" s="22"/>
      <c r="R23" s="5"/>
      <c r="T23" s="8"/>
    </row>
    <row r="24" spans="3:20" x14ac:dyDescent="0.35">
      <c r="C24" s="5"/>
      <c r="D24" s="5">
        <f t="shared" ref="D24:L24" si="8">D17-C17</f>
        <v>-1228.3700000000001</v>
      </c>
      <c r="E24" s="5">
        <f t="shared" si="8"/>
        <v>-175.16000000000008</v>
      </c>
      <c r="F24" s="5">
        <f t="shared" si="8"/>
        <v>-32.549999999999955</v>
      </c>
      <c r="G24" s="5">
        <f t="shared" si="8"/>
        <v>-3.1100000000000136</v>
      </c>
      <c r="H24" s="5">
        <f t="shared" si="8"/>
        <v>-1.0499999999999545</v>
      </c>
      <c r="I24" s="5">
        <f t="shared" si="8"/>
        <v>-0.25999999999999091</v>
      </c>
      <c r="J24" s="5">
        <f t="shared" si="8"/>
        <v>-0.23000000000001819</v>
      </c>
      <c r="K24" s="5">
        <f t="shared" si="8"/>
        <v>-0.18000000000006366</v>
      </c>
      <c r="L24" s="5">
        <f t="shared" si="8"/>
        <v>9.3300000000000409</v>
      </c>
      <c r="M24" s="5"/>
      <c r="N24" s="22"/>
      <c r="R24" s="5"/>
      <c r="T24" s="8"/>
    </row>
    <row r="25" spans="3:20" x14ac:dyDescent="0.35">
      <c r="C25" s="23"/>
      <c r="D25" s="5">
        <f t="shared" ref="D25:L25" si="9">D18-C18</f>
        <v>-2464.4599999999996</v>
      </c>
      <c r="E25" s="5">
        <f t="shared" si="9"/>
        <v>-36.279999999999973</v>
      </c>
      <c r="F25" s="5">
        <f t="shared" si="9"/>
        <v>-14</v>
      </c>
      <c r="G25" s="5">
        <f t="shared" si="9"/>
        <v>-2.8499999999999091</v>
      </c>
      <c r="H25" s="5">
        <f t="shared" si="9"/>
        <v>-1.25</v>
      </c>
      <c r="I25" s="5">
        <f t="shared" si="9"/>
        <v>-0.39000000000010004</v>
      </c>
      <c r="J25" s="5">
        <f t="shared" si="9"/>
        <v>-0.33999999999991815</v>
      </c>
      <c r="K25" s="5">
        <f t="shared" si="9"/>
        <v>-0.25999999999999091</v>
      </c>
      <c r="L25" s="5">
        <f t="shared" si="9"/>
        <v>-10.050000000000182</v>
      </c>
      <c r="M25" s="5"/>
      <c r="N25" s="22"/>
      <c r="R25" s="5"/>
      <c r="T25" s="8"/>
    </row>
    <row r="26" spans="3:20" x14ac:dyDescent="0.35">
      <c r="C26" s="23"/>
      <c r="D26" s="5">
        <f t="shared" ref="D26:L26" si="10">D19-C19</f>
        <v>-2865.29</v>
      </c>
      <c r="E26" s="5">
        <f t="shared" si="10"/>
        <v>-366.85000000000014</v>
      </c>
      <c r="F26" s="5">
        <f t="shared" si="10"/>
        <v>-70.190000000000055</v>
      </c>
      <c r="G26" s="5">
        <f t="shared" si="10"/>
        <v>-6.8099999999999454</v>
      </c>
      <c r="H26" s="5">
        <f t="shared" si="10"/>
        <v>-2.8199999999999363</v>
      </c>
      <c r="I26" s="5">
        <f t="shared" si="10"/>
        <v>-0.52999999999997272</v>
      </c>
      <c r="J26" s="5">
        <f t="shared" si="10"/>
        <v>-0.76999999999998181</v>
      </c>
      <c r="K26" s="5">
        <f t="shared" si="10"/>
        <v>-0.60000000000013642</v>
      </c>
      <c r="L26" s="5">
        <f t="shared" si="10"/>
        <v>24.740000000000009</v>
      </c>
      <c r="M26" s="5"/>
      <c r="N26" s="22"/>
      <c r="R26" s="5"/>
      <c r="T26" s="8"/>
    </row>
    <row r="27" spans="3:20" x14ac:dyDescent="0.35">
      <c r="C27" s="23"/>
      <c r="D27" s="5">
        <f t="shared" ref="D27:L27" si="11">D20-C20</f>
        <v>-126.4399999999996</v>
      </c>
      <c r="E27" s="5">
        <f t="shared" si="11"/>
        <v>-2548.4</v>
      </c>
      <c r="F27" s="5">
        <f t="shared" si="11"/>
        <v>-238.3100000000004</v>
      </c>
      <c r="G27" s="5">
        <f t="shared" si="11"/>
        <v>-109.04999999999973</v>
      </c>
      <c r="H27" s="5">
        <f t="shared" si="11"/>
        <v>-13.900000000000091</v>
      </c>
      <c r="I27" s="5">
        <f t="shared" si="11"/>
        <v>-8.4699999999997999</v>
      </c>
      <c r="J27" s="5">
        <f t="shared" si="11"/>
        <v>-1.8400000000001455</v>
      </c>
      <c r="K27" s="5">
        <f t="shared" si="11"/>
        <v>-0.74000000000023647</v>
      </c>
      <c r="L27" s="5">
        <f t="shared" si="11"/>
        <v>23.580000000000382</v>
      </c>
      <c r="M27" s="5"/>
      <c r="N27" s="22"/>
      <c r="R27" s="5"/>
      <c r="T27" s="8"/>
    </row>
    <row r="28" spans="3:20" x14ac:dyDescent="0.35">
      <c r="C28" s="23"/>
      <c r="D28" s="5">
        <f t="shared" ref="D28:L28" si="12">D21-C21</f>
        <v>-727.96999999999935</v>
      </c>
      <c r="E28" s="5">
        <f t="shared" si="12"/>
        <v>-2323.2200000000003</v>
      </c>
      <c r="F28" s="5">
        <f t="shared" si="12"/>
        <v>-460.24000000000024</v>
      </c>
      <c r="G28" s="5">
        <f t="shared" si="12"/>
        <v>-33.019999999999982</v>
      </c>
      <c r="H28" s="5">
        <f t="shared" si="12"/>
        <v>-7.5099999999997635</v>
      </c>
      <c r="I28" s="5">
        <f t="shared" si="12"/>
        <v>-1.75</v>
      </c>
      <c r="J28" s="5">
        <f t="shared" si="12"/>
        <v>-1.1400000000003274</v>
      </c>
      <c r="K28" s="5">
        <f t="shared" si="12"/>
        <v>-0.54999999999972715</v>
      </c>
      <c r="L28" s="5">
        <f t="shared" si="12"/>
        <v>41.769999999999982</v>
      </c>
      <c r="M28" s="5"/>
      <c r="N28" s="22"/>
      <c r="T28" s="8"/>
    </row>
  </sheetData>
  <mergeCells count="3">
    <mergeCell ref="I3:J3"/>
    <mergeCell ref="E3:F3"/>
    <mergeCell ref="C13:K13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Rect Plate</vt:lpstr>
      <vt:lpstr>2 Flat stag</vt:lpstr>
      <vt:lpstr>3 Flat twist</vt:lpstr>
      <vt:lpstr>4 Naca th</vt:lpstr>
      <vt:lpstr>4.2 naca Qat offset</vt:lpstr>
      <vt:lpstr>4.4 naca taper</vt:lpstr>
      <vt:lpstr>5 Ec Camber</vt:lpstr>
      <vt:lpstr>6 Realistic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BASNET</dc:creator>
  <cp:lastModifiedBy>SAROJ BASNET</cp:lastModifiedBy>
  <dcterms:created xsi:type="dcterms:W3CDTF">2026-07-27T06:29:53Z</dcterms:created>
  <dcterms:modified xsi:type="dcterms:W3CDTF">2026-09-17T15:58:19Z</dcterms:modified>
</cp:coreProperties>
</file>